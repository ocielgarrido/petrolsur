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rabajos\Aplicaciones Web\Aplicaciones Laravel\App Petrolsur\Petrolsur\Regalias\"/>
    </mc:Choice>
  </mc:AlternateContent>
  <bookViews>
    <workbookView xWindow="0" yWindow="0" windowWidth="20490" windowHeight="7650"/>
  </bookViews>
  <sheets>
    <sheet name="datos" sheetId="4" r:id="rId1"/>
    <sheet name="Sheet1" sheetId="5" r:id="rId2"/>
  </sheets>
  <definedNames>
    <definedName name="_xlnm.Print_Area" localSheetId="0">datos!$AH$3:$BH$28</definedName>
    <definedName name="replnk_result">""</definedName>
  </definedNames>
  <calcPr calcId="162913"/>
</workbook>
</file>

<file path=xl/calcChain.xml><?xml version="1.0" encoding="utf-8"?>
<calcChain xmlns="http://schemas.openxmlformats.org/spreadsheetml/2006/main">
  <c r="D9" i="4" l="1"/>
  <c r="E9" i="4" s="1"/>
  <c r="F9" i="4" s="1"/>
  <c r="C9" i="4"/>
  <c r="C16" i="4" s="1"/>
  <c r="AL5" i="4"/>
  <c r="BG6" i="4"/>
  <c r="BG7" i="4" s="1"/>
  <c r="T9" i="4"/>
  <c r="V9" i="4"/>
  <c r="W9" i="4" s="1"/>
  <c r="AN9" i="4"/>
  <c r="BD11" i="4"/>
  <c r="AY12" i="4"/>
  <c r="BD12" i="4"/>
  <c r="AY13" i="4"/>
  <c r="AY14" i="4"/>
  <c r="AY15" i="4"/>
  <c r="AY16" i="4"/>
  <c r="AY17" i="4" s="1"/>
  <c r="AY18" i="4"/>
  <c r="AY19" i="4" s="1"/>
  <c r="AY20" i="4" s="1"/>
  <c r="AY21" i="4" s="1"/>
  <c r="AY22" i="4" s="1"/>
  <c r="AY23" i="4" s="1"/>
  <c r="AY24" i="4" s="1"/>
  <c r="AY25" i="4" s="1"/>
  <c r="AY26" i="4" s="1"/>
  <c r="AY27" i="4" s="1"/>
  <c r="AY28" i="4" s="1"/>
  <c r="AY29" i="4" s="1"/>
  <c r="AY30" i="4" s="1"/>
  <c r="AY31" i="4" s="1"/>
  <c r="AY32" i="4" s="1"/>
  <c r="AY33" i="4" s="1"/>
  <c r="AY34" i="4" s="1"/>
  <c r="AY35" i="4" s="1"/>
  <c r="AY36" i="4" s="1"/>
  <c r="AY37" i="4" s="1"/>
  <c r="AY38" i="4" s="1"/>
  <c r="AY39" i="4" s="1"/>
  <c r="AY40" i="4" s="1"/>
  <c r="AY41" i="4" s="1"/>
  <c r="AY42" i="4" s="1"/>
  <c r="AY43" i="4" s="1"/>
  <c r="AY44" i="4" s="1"/>
  <c r="AY45" i="4" s="1"/>
  <c r="AY46" i="4" s="1"/>
  <c r="AY47" i="4" s="1"/>
  <c r="AY48" i="4" s="1"/>
  <c r="AY49" i="4" s="1"/>
  <c r="AY50" i="4" s="1"/>
  <c r="AY51" i="4" s="1"/>
  <c r="AY52" i="4" s="1"/>
  <c r="AY53" i="4" s="1"/>
  <c r="AY54" i="4" s="1"/>
  <c r="AY55" i="4" s="1"/>
  <c r="AY56" i="4" s="1"/>
  <c r="AY57" i="4" s="1"/>
  <c r="AY58" i="4" s="1"/>
  <c r="AY59" i="4" s="1"/>
  <c r="AY60" i="4" s="1"/>
  <c r="AY61" i="4" s="1"/>
  <c r="AY62" i="4" s="1"/>
  <c r="AY63" i="4" s="1"/>
  <c r="AY64" i="4" s="1"/>
  <c r="AY65" i="4" s="1"/>
  <c r="AY66" i="4" s="1"/>
  <c r="AY67" i="4" s="1"/>
  <c r="AY68" i="4" s="1"/>
  <c r="AY69" i="4" s="1"/>
  <c r="AY70" i="4" s="1"/>
  <c r="AY71" i="4" s="1"/>
  <c r="AY72" i="4" s="1"/>
  <c r="AY73" i="4" s="1"/>
  <c r="AY74" i="4" s="1"/>
  <c r="AY75" i="4" s="1"/>
  <c r="AY76" i="4" s="1"/>
  <c r="AY77" i="4" s="1"/>
  <c r="AY78" i="4" s="1"/>
  <c r="AY79" i="4" s="1"/>
  <c r="AY80" i="4" s="1"/>
  <c r="AY81" i="4" s="1"/>
  <c r="AY82" i="4" s="1"/>
  <c r="AY83" i="4" s="1"/>
  <c r="AY84" i="4" s="1"/>
  <c r="AY85" i="4" s="1"/>
  <c r="AY86" i="4" s="1"/>
  <c r="AY87" i="4" s="1"/>
  <c r="AY88" i="4" s="1"/>
  <c r="AY89" i="4" s="1"/>
  <c r="AY90" i="4" s="1"/>
  <c r="AY91" i="4" s="1"/>
  <c r="AY92" i="4" s="1"/>
  <c r="AY93" i="4" s="1"/>
  <c r="AY94" i="4" s="1"/>
  <c r="AY95" i="4" s="1"/>
  <c r="AY96" i="4" s="1"/>
  <c r="AY97" i="4" s="1"/>
  <c r="AY98" i="4" s="1"/>
  <c r="AY99" i="4" s="1"/>
  <c r="AY100" i="4" s="1"/>
  <c r="AY101" i="4" s="1"/>
  <c r="AY102" i="4" s="1"/>
  <c r="AY103" i="4" s="1"/>
  <c r="AY104" i="4" s="1"/>
  <c r="AY105" i="4" s="1"/>
  <c r="AY106" i="4" s="1"/>
  <c r="AY107" i="4" s="1"/>
  <c r="AY108" i="4" s="1"/>
  <c r="AY109" i="4" s="1"/>
  <c r="AY110" i="4" s="1"/>
  <c r="AY111" i="4" s="1"/>
  <c r="AY112" i="4" s="1"/>
  <c r="AY113" i="4" s="1"/>
  <c r="AY114" i="4" s="1"/>
  <c r="AY115" i="4" s="1"/>
  <c r="AY116" i="4" s="1"/>
  <c r="AY117" i="4" s="1"/>
  <c r="AY118" i="4" s="1"/>
  <c r="AY119" i="4" s="1"/>
  <c r="AY120" i="4" s="1"/>
  <c r="AY121" i="4" s="1"/>
  <c r="AY122" i="4" s="1"/>
  <c r="AY123" i="4" s="1"/>
  <c r="AY124" i="4" s="1"/>
  <c r="AY125" i="4" s="1"/>
  <c r="AY126" i="4" s="1"/>
  <c r="AY127" i="4" s="1"/>
  <c r="AY128" i="4" s="1"/>
  <c r="AY129" i="4" s="1"/>
  <c r="AY130" i="4" s="1"/>
  <c r="AY131" i="4" s="1"/>
  <c r="AY132" i="4" s="1"/>
  <c r="AY133" i="4" s="1"/>
  <c r="AY134" i="4" s="1"/>
  <c r="AY135" i="4" s="1"/>
  <c r="AY136" i="4" s="1"/>
  <c r="AY137" i="4" s="1"/>
  <c r="AY138" i="4" s="1"/>
  <c r="AY139" i="4" s="1"/>
  <c r="AY140" i="4" s="1"/>
  <c r="AY141" i="4" s="1"/>
  <c r="AY142" i="4" s="1"/>
  <c r="AY143" i="4" s="1"/>
  <c r="AY144" i="4" s="1"/>
  <c r="AY145" i="4" s="1"/>
  <c r="AY146" i="4" s="1"/>
  <c r="AY147" i="4" s="1"/>
  <c r="AY148" i="4" s="1"/>
  <c r="AY149" i="4" s="1"/>
  <c r="AY150" i="4" s="1"/>
  <c r="AY151" i="4" s="1"/>
  <c r="AY152" i="4" s="1"/>
  <c r="AY153" i="4" s="1"/>
  <c r="AY154" i="4" s="1"/>
  <c r="AY155" i="4" s="1"/>
  <c r="AY156" i="4" s="1"/>
  <c r="AY157" i="4" s="1"/>
  <c r="AY158" i="4" s="1"/>
  <c r="AY159" i="4" s="1"/>
  <c r="AY160" i="4" s="1"/>
  <c r="AY161" i="4" s="1"/>
  <c r="AY162" i="4" s="1"/>
  <c r="AY163" i="4" s="1"/>
  <c r="AY164" i="4" s="1"/>
  <c r="AY165" i="4" s="1"/>
  <c r="AY166" i="4" s="1"/>
  <c r="AY167" i="4" s="1"/>
  <c r="AY168" i="4" s="1"/>
  <c r="AY169" i="4" s="1"/>
  <c r="AY170" i="4" s="1"/>
  <c r="AY171" i="4" s="1"/>
  <c r="AY172" i="4" s="1"/>
  <c r="AY173" i="4" s="1"/>
  <c r="AY174" i="4" s="1"/>
  <c r="AY175" i="4" s="1"/>
  <c r="AY176" i="4" s="1"/>
  <c r="AY177" i="4" s="1"/>
  <c r="AY178" i="4" s="1"/>
  <c r="AY179" i="4" s="1"/>
  <c r="AY180" i="4" s="1"/>
  <c r="AY181" i="4" s="1"/>
  <c r="AY182" i="4" s="1"/>
  <c r="AY183" i="4" s="1"/>
  <c r="AY184" i="4" s="1"/>
  <c r="AY185" i="4" s="1"/>
  <c r="AY186" i="4" s="1"/>
  <c r="AY187" i="4" s="1"/>
  <c r="AY188" i="4" s="1"/>
  <c r="AY189" i="4" s="1"/>
  <c r="AY190" i="4" s="1"/>
  <c r="AY191" i="4" s="1"/>
  <c r="AY192" i="4" s="1"/>
  <c r="AY193" i="4" s="1"/>
  <c r="AY194" i="4" s="1"/>
  <c r="AY195" i="4" s="1"/>
  <c r="AY196" i="4" s="1"/>
  <c r="AY197" i="4" s="1"/>
  <c r="AY198" i="4" s="1"/>
  <c r="AY199" i="4" s="1"/>
  <c r="AY200" i="4" s="1"/>
  <c r="AY201" i="4" s="1"/>
  <c r="AY202" i="4" s="1"/>
  <c r="AY203" i="4" s="1"/>
  <c r="BD13" i="4"/>
  <c r="BD14" i="4"/>
  <c r="BD15" i="4"/>
  <c r="BG15" i="4"/>
  <c r="BD16" i="4"/>
  <c r="BG16" i="4"/>
  <c r="BG17" i="4"/>
  <c r="BD17" i="4"/>
  <c r="BD18" i="4"/>
  <c r="BD19" i="4"/>
  <c r="BD20" i="4"/>
  <c r="BD21" i="4"/>
  <c r="BD22" i="4"/>
  <c r="BD23" i="4"/>
  <c r="S24" i="4"/>
  <c r="BD24" i="4"/>
  <c r="AC25" i="4"/>
  <c r="AD25" i="4" s="1"/>
  <c r="AE25" i="4" s="1"/>
  <c r="T24" i="4" s="1"/>
  <c r="BD25" i="4"/>
  <c r="BD26" i="4"/>
  <c r="BD27" i="4"/>
  <c r="BD28" i="4"/>
  <c r="BD29" i="4"/>
  <c r="BD30" i="4"/>
  <c r="AN7" i="4"/>
  <c r="BD31" i="4"/>
  <c r="BD32" i="4"/>
  <c r="BD33" i="4"/>
  <c r="E34" i="4"/>
  <c r="F34" i="4"/>
  <c r="G34" i="4" s="1"/>
  <c r="H34" i="4" s="1"/>
  <c r="I34" i="4" s="1"/>
  <c r="BD34" i="4"/>
  <c r="C35" i="4"/>
  <c r="D35" i="4"/>
  <c r="E35" i="4" s="1"/>
  <c r="F35" i="4" s="1"/>
  <c r="BD35" i="4"/>
  <c r="C36" i="4"/>
  <c r="D36" i="4"/>
  <c r="E36" i="4"/>
  <c r="F36" i="4"/>
  <c r="BD36" i="4"/>
  <c r="C37" i="4"/>
  <c r="D37" i="4"/>
  <c r="E37" i="4" s="1"/>
  <c r="F37" i="4" s="1"/>
  <c r="BD37" i="4"/>
  <c r="C38" i="4"/>
  <c r="D38" i="4"/>
  <c r="E38" i="4"/>
  <c r="F38" i="4"/>
  <c r="BD38" i="4"/>
  <c r="C39" i="4"/>
  <c r="D39" i="4"/>
  <c r="E39" i="4"/>
  <c r="F39" i="4"/>
  <c r="BD39" i="4"/>
  <c r="C40" i="4"/>
  <c r="D40" i="4"/>
  <c r="E40" i="4"/>
  <c r="F40" i="4" s="1"/>
  <c r="BD40" i="4"/>
  <c r="C41" i="4"/>
  <c r="D41" i="4"/>
  <c r="E41" i="4"/>
  <c r="F41" i="4" s="1"/>
  <c r="BD41" i="4"/>
  <c r="C42" i="4"/>
  <c r="D42" i="4"/>
  <c r="E42" i="4"/>
  <c r="F42" i="4"/>
  <c r="BD42" i="4"/>
  <c r="C43" i="4"/>
  <c r="D43" i="4"/>
  <c r="E43" i="4"/>
  <c r="F43" i="4"/>
  <c r="BD43" i="4"/>
  <c r="C44" i="4"/>
  <c r="D44" i="4"/>
  <c r="E44" i="4"/>
  <c r="F44" i="4"/>
  <c r="BD44" i="4"/>
  <c r="BD45" i="4"/>
  <c r="BD46" i="4"/>
  <c r="BD47" i="4"/>
  <c r="BD48" i="4"/>
  <c r="BD49" i="4"/>
  <c r="BD50" i="4"/>
  <c r="C52" i="4"/>
  <c r="C53" i="4" s="1"/>
  <c r="D52" i="4"/>
  <c r="E52" i="4"/>
  <c r="F52" i="4" s="1"/>
  <c r="Q54" i="4"/>
  <c r="D56" i="4"/>
  <c r="E56" i="4"/>
  <c r="F56" i="4" s="1"/>
  <c r="D60" i="4"/>
  <c r="E60" i="4"/>
  <c r="F60" i="4" s="1"/>
  <c r="D62" i="4"/>
  <c r="E62" i="4" s="1"/>
  <c r="F62" i="4" s="1"/>
  <c r="AQ203" i="4"/>
  <c r="AX203" i="4"/>
  <c r="AQ204" i="4"/>
  <c r="AX204" i="4"/>
  <c r="AY204" i="4"/>
  <c r="AQ205" i="4"/>
  <c r="AX205" i="4"/>
  <c r="AY205" i="4"/>
  <c r="AQ206" i="4"/>
  <c r="AX206" i="4"/>
  <c r="AY206" i="4"/>
  <c r="AQ207" i="4"/>
  <c r="AX207" i="4"/>
  <c r="AY207" i="4"/>
  <c r="AQ208" i="4"/>
  <c r="AX208" i="4"/>
  <c r="AY208" i="4"/>
  <c r="AQ209" i="4"/>
  <c r="AX209" i="4"/>
  <c r="AY209" i="4"/>
  <c r="AQ210" i="4"/>
  <c r="AX210" i="4"/>
  <c r="AY210" i="4"/>
  <c r="AQ211" i="4"/>
  <c r="AX211" i="4"/>
  <c r="AY211" i="4"/>
  <c r="AQ212" i="4"/>
  <c r="AX212" i="4"/>
  <c r="AY212" i="4"/>
  <c r="AQ213" i="4"/>
  <c r="AX213" i="4"/>
  <c r="AY213" i="4"/>
  <c r="AQ214" i="4"/>
  <c r="AX214" i="4"/>
  <c r="AY214" i="4"/>
  <c r="AQ215" i="4"/>
  <c r="AX215" i="4"/>
  <c r="AY215" i="4"/>
  <c r="AQ216" i="4"/>
  <c r="AX216" i="4"/>
  <c r="AY216" i="4"/>
  <c r="AQ217" i="4"/>
  <c r="AX217" i="4"/>
  <c r="AY217" i="4"/>
  <c r="AQ218" i="4"/>
  <c r="AX218" i="4"/>
  <c r="AY218" i="4"/>
  <c r="AQ219" i="4"/>
  <c r="AX219" i="4"/>
  <c r="AY219" i="4"/>
  <c r="AQ220" i="4"/>
  <c r="AX220" i="4"/>
  <c r="AY220" i="4"/>
  <c r="AQ221" i="4"/>
  <c r="AX221" i="4"/>
  <c r="AY221" i="4"/>
  <c r="AQ222" i="4"/>
  <c r="AX222" i="4"/>
  <c r="AY222" i="4"/>
  <c r="AQ223" i="4"/>
  <c r="AX223" i="4"/>
  <c r="AY223" i="4"/>
  <c r="AQ224" i="4"/>
  <c r="AX224" i="4"/>
  <c r="AY224" i="4"/>
  <c r="AQ225" i="4"/>
  <c r="AX225" i="4"/>
  <c r="AY225" i="4"/>
  <c r="AQ226" i="4"/>
  <c r="AX226" i="4"/>
  <c r="AY226" i="4"/>
  <c r="AQ227" i="4"/>
  <c r="AX227" i="4"/>
  <c r="AY227" i="4"/>
  <c r="AQ228" i="4"/>
  <c r="AX228" i="4"/>
  <c r="AY228" i="4"/>
  <c r="AQ229" i="4"/>
  <c r="AX229" i="4"/>
  <c r="AY229" i="4"/>
  <c r="AQ230" i="4"/>
  <c r="AX230" i="4"/>
  <c r="AY230" i="4"/>
  <c r="AQ231" i="4"/>
  <c r="AX231" i="4"/>
  <c r="AY231" i="4"/>
  <c r="AQ232" i="4"/>
  <c r="AX232" i="4"/>
  <c r="AY232" i="4"/>
  <c r="AQ233" i="4"/>
  <c r="AX233" i="4"/>
  <c r="AY233" i="4"/>
  <c r="AQ234" i="4"/>
  <c r="AX234" i="4"/>
  <c r="AY234" i="4"/>
  <c r="AQ235" i="4"/>
  <c r="AX235" i="4"/>
  <c r="AY235" i="4"/>
  <c r="AQ236" i="4"/>
  <c r="AX236" i="4"/>
  <c r="AY236" i="4"/>
  <c r="AQ237" i="4"/>
  <c r="AX237" i="4"/>
  <c r="AY237" i="4"/>
  <c r="AQ238" i="4"/>
  <c r="AX238" i="4"/>
  <c r="AY238" i="4"/>
  <c r="AQ239" i="4"/>
  <c r="AX239" i="4"/>
  <c r="AY239" i="4"/>
  <c r="AQ240" i="4"/>
  <c r="AX240" i="4"/>
  <c r="AY240" i="4"/>
  <c r="AQ241" i="4"/>
  <c r="AX241" i="4"/>
  <c r="AY241" i="4"/>
  <c r="AQ242" i="4"/>
  <c r="AX242" i="4"/>
  <c r="AY242" i="4"/>
  <c r="AQ243" i="4"/>
  <c r="AX243" i="4"/>
  <c r="AY243" i="4"/>
  <c r="AQ244" i="4"/>
  <c r="AX244" i="4"/>
  <c r="AY244" i="4"/>
  <c r="AQ245" i="4"/>
  <c r="AX245" i="4"/>
  <c r="AY245" i="4"/>
  <c r="AQ246" i="4"/>
  <c r="AX246" i="4"/>
  <c r="AY246" i="4"/>
  <c r="AQ247" i="4"/>
  <c r="AX247" i="4"/>
  <c r="AY247" i="4"/>
  <c r="AQ248" i="4"/>
  <c r="AX248" i="4"/>
  <c r="AY248" i="4"/>
  <c r="AQ249" i="4"/>
  <c r="AX249" i="4"/>
  <c r="AY249" i="4"/>
  <c r="AQ250" i="4"/>
  <c r="AX250" i="4"/>
  <c r="AY250" i="4"/>
  <c r="AQ251" i="4"/>
  <c r="AX251" i="4"/>
  <c r="AY251" i="4"/>
  <c r="AQ252" i="4"/>
  <c r="AX252" i="4"/>
  <c r="AY252" i="4"/>
  <c r="AQ253" i="4"/>
  <c r="AX253" i="4"/>
  <c r="AY253" i="4"/>
  <c r="AQ254" i="4"/>
  <c r="AX254" i="4"/>
  <c r="AY254" i="4"/>
  <c r="AQ255" i="4"/>
  <c r="AX255" i="4"/>
  <c r="AY255" i="4"/>
  <c r="AQ256" i="4"/>
  <c r="AX256" i="4"/>
  <c r="AY256" i="4"/>
  <c r="AQ257" i="4"/>
  <c r="AX257" i="4"/>
  <c r="AY257" i="4"/>
  <c r="AQ258" i="4"/>
  <c r="AX258" i="4"/>
  <c r="AY258" i="4"/>
  <c r="AQ260" i="4"/>
  <c r="AX260" i="4"/>
  <c r="AY260" i="4"/>
  <c r="AQ261" i="4"/>
  <c r="AX261" i="4"/>
  <c r="AY261" i="4"/>
  <c r="AQ262" i="4"/>
  <c r="AX262" i="4"/>
  <c r="AY262" i="4"/>
  <c r="AQ263" i="4"/>
  <c r="AX263" i="4"/>
  <c r="AY263" i="4"/>
  <c r="AQ264" i="4"/>
  <c r="AX264" i="4"/>
  <c r="AY264" i="4"/>
  <c r="AQ265" i="4"/>
  <c r="AX265" i="4"/>
  <c r="AY265" i="4"/>
  <c r="AQ266" i="4"/>
  <c r="AX266" i="4"/>
  <c r="AY266" i="4"/>
  <c r="AY267" i="4"/>
  <c r="AY268" i="4" s="1"/>
  <c r="AY269" i="4" s="1"/>
  <c r="AY270" i="4" s="1"/>
  <c r="AY271" i="4" s="1"/>
  <c r="AY272" i="4" s="1"/>
  <c r="AY273" i="4" s="1"/>
  <c r="AY274" i="4" s="1"/>
  <c r="AY275" i="4" s="1"/>
  <c r="AY276" i="4" s="1"/>
  <c r="AY277" i="4" s="1"/>
  <c r="AY278" i="4" s="1"/>
  <c r="AY279" i="4" s="1"/>
  <c r="AY280" i="4" s="1"/>
  <c r="AY281" i="4" s="1"/>
  <c r="AY282" i="4" s="1"/>
  <c r="AY283" i="4" s="1"/>
  <c r="AY284" i="4" s="1"/>
  <c r="AY285" i="4" s="1"/>
  <c r="AY286" i="4" s="1"/>
  <c r="AY287" i="4" s="1"/>
  <c r="AY288" i="4" s="1"/>
  <c r="AY289" i="4" s="1"/>
  <c r="AY290" i="4" s="1"/>
  <c r="X9" i="4"/>
  <c r="Y9" i="4" s="1"/>
  <c r="Z9" i="4" s="1"/>
  <c r="AA9" i="4" s="1"/>
  <c r="AB9" i="4" s="1"/>
  <c r="R11" i="4" s="1"/>
  <c r="D61" i="4"/>
  <c r="E61" i="4"/>
  <c r="F61" i="4" s="1"/>
  <c r="D59" i="4"/>
  <c r="E59" i="4"/>
  <c r="F59" i="4" s="1"/>
  <c r="D55" i="4"/>
  <c r="E55" i="4" s="1"/>
  <c r="F55" i="4" s="1"/>
  <c r="D54" i="4"/>
  <c r="E54" i="4" s="1"/>
  <c r="F54" i="4" s="1"/>
  <c r="D17" i="4" l="1"/>
  <c r="E17" i="4" s="1"/>
  <c r="F17" i="4" s="1"/>
  <c r="D11" i="4"/>
  <c r="E11" i="4" s="1"/>
  <c r="F11" i="4" s="1"/>
  <c r="D19" i="4"/>
  <c r="E19" i="4" s="1"/>
  <c r="F19" i="4" s="1"/>
  <c r="D12" i="4"/>
  <c r="E12" i="4" s="1"/>
  <c r="F12" i="4" s="1"/>
  <c r="D13" i="4"/>
  <c r="E13" i="4" s="1"/>
  <c r="F13" i="4" s="1"/>
  <c r="D18" i="4"/>
  <c r="E18" i="4" s="1"/>
  <c r="F18" i="4" s="1"/>
  <c r="K34" i="4"/>
  <c r="L34" i="4"/>
  <c r="M34" i="4" s="1"/>
  <c r="J34" i="4"/>
  <c r="C54" i="4"/>
  <c r="C59" i="4"/>
  <c r="C58" i="4"/>
  <c r="D58" i="4"/>
  <c r="E58" i="4" s="1"/>
  <c r="F58" i="4" s="1"/>
  <c r="D53" i="4"/>
  <c r="E53" i="4" s="1"/>
  <c r="F53" i="4" s="1"/>
  <c r="D57" i="4"/>
  <c r="E57" i="4" s="1"/>
  <c r="F57" i="4" s="1"/>
  <c r="G52" i="4"/>
  <c r="H52" i="4" s="1"/>
  <c r="I52" i="4" s="1"/>
  <c r="C57" i="4"/>
  <c r="C60" i="4"/>
  <c r="C55" i="4"/>
  <c r="C61" i="4"/>
  <c r="C56" i="4"/>
  <c r="C62" i="4"/>
  <c r="C15" i="4"/>
  <c r="C10" i="4"/>
  <c r="C11" i="4"/>
  <c r="C13" i="4"/>
  <c r="D14" i="4"/>
  <c r="E14" i="4" s="1"/>
  <c r="F14" i="4" s="1"/>
  <c r="D16" i="4"/>
  <c r="E16" i="4" s="1"/>
  <c r="F16" i="4" s="1"/>
  <c r="D15" i="4"/>
  <c r="E15" i="4" s="1"/>
  <c r="F15" i="4" s="1"/>
  <c r="D10" i="4"/>
  <c r="E10" i="4" s="1"/>
  <c r="F10" i="4" s="1"/>
  <c r="G9" i="4"/>
  <c r="C19" i="4"/>
  <c r="C17" i="4"/>
  <c r="C14" i="4"/>
  <c r="C12" i="4"/>
  <c r="C18" i="4"/>
  <c r="K52" i="4" l="1"/>
  <c r="L52" i="4"/>
  <c r="M52" i="4" s="1"/>
  <c r="J52" i="4"/>
  <c r="N34" i="4"/>
  <c r="G35" i="4" s="1"/>
  <c r="H35" i="4" s="1"/>
  <c r="I35" i="4" s="1"/>
  <c r="J35" i="4" s="1"/>
  <c r="K35" i="4" s="1"/>
  <c r="L35" i="4" s="1"/>
  <c r="M35" i="4" s="1"/>
  <c r="N35" i="4" s="1"/>
  <c r="H9" i="4"/>
  <c r="I9" i="4" s="1"/>
  <c r="J9" i="4" s="1"/>
  <c r="K9" i="4" s="1"/>
  <c r="L9" i="4" s="1"/>
  <c r="M9" i="4" s="1"/>
  <c r="N9" i="4" s="1"/>
  <c r="N52" i="4"/>
  <c r="G53" i="4" s="1"/>
  <c r="H53" i="4" s="1"/>
  <c r="I53" i="4" s="1"/>
  <c r="O35" i="4" l="1"/>
  <c r="G36" i="4" s="1"/>
  <c r="H36" i="4" s="1"/>
  <c r="I36" i="4" s="1"/>
  <c r="G10" i="4"/>
  <c r="H10" i="4" s="1"/>
  <c r="I10" i="4" s="1"/>
  <c r="J53" i="4"/>
  <c r="K53" i="4" s="1"/>
  <c r="L53" i="4" s="1"/>
  <c r="M53" i="4" s="1"/>
  <c r="N53" i="4" s="1"/>
  <c r="G54" i="4" l="1"/>
  <c r="H54" i="4" s="1"/>
  <c r="O53" i="4"/>
  <c r="G55" i="4" s="1"/>
  <c r="H55" i="4" s="1"/>
  <c r="I55" i="4" s="1"/>
  <c r="J10" i="4"/>
  <c r="K10" i="4" s="1"/>
  <c r="L10" i="4" s="1"/>
  <c r="M10" i="4" s="1"/>
  <c r="N10" i="4" s="1"/>
  <c r="J36" i="4"/>
  <c r="K36" i="4" s="1"/>
  <c r="L36" i="4" s="1"/>
  <c r="M36" i="4" s="1"/>
  <c r="N36" i="4" s="1"/>
  <c r="G11" i="4" l="1"/>
  <c r="H11" i="4" s="1"/>
  <c r="I11" i="4" s="1"/>
  <c r="O10" i="4"/>
  <c r="O36" i="4"/>
  <c r="G37" i="4" s="1"/>
  <c r="H37" i="4" s="1"/>
  <c r="I37" i="4" s="1"/>
  <c r="J55" i="4"/>
  <c r="K55" i="4" s="1"/>
  <c r="L55" i="4" s="1"/>
  <c r="M55" i="4" s="1"/>
  <c r="N55" i="4" s="1"/>
  <c r="J37" i="4" l="1"/>
  <c r="K37" i="4" s="1"/>
  <c r="L37" i="4" s="1"/>
  <c r="M37" i="4" s="1"/>
  <c r="N37" i="4" s="1"/>
  <c r="J11" i="4"/>
  <c r="K11" i="4" s="1"/>
  <c r="L11" i="4" s="1"/>
  <c r="M11" i="4" s="1"/>
  <c r="N11" i="4" s="1"/>
  <c r="O55" i="4"/>
  <c r="O37" i="4" l="1"/>
  <c r="G38" i="4" s="1"/>
  <c r="H38" i="4" s="1"/>
  <c r="I38" i="4" s="1"/>
  <c r="O11" i="4"/>
  <c r="G56" i="4"/>
  <c r="H56" i="4" s="1"/>
  <c r="I56" i="4" s="1"/>
  <c r="G12" i="4" l="1"/>
  <c r="H12" i="4" s="1"/>
  <c r="I12" i="4" s="1"/>
  <c r="J56" i="4"/>
  <c r="K56" i="4" s="1"/>
  <c r="L56" i="4" s="1"/>
  <c r="M56" i="4" s="1"/>
  <c r="N56" i="4" s="1"/>
  <c r="J38" i="4"/>
  <c r="K38" i="4" s="1"/>
  <c r="L38" i="4" s="1"/>
  <c r="M38" i="4" s="1"/>
  <c r="N38" i="4" s="1"/>
  <c r="O56" i="4" l="1"/>
  <c r="O38" i="4"/>
  <c r="G39" i="4" s="1"/>
  <c r="H39" i="4" s="1"/>
  <c r="I39" i="4" s="1"/>
  <c r="J12" i="4"/>
  <c r="K12" i="4" s="1"/>
  <c r="L12" i="4" s="1"/>
  <c r="M12" i="4" s="1"/>
  <c r="N12" i="4" s="1"/>
  <c r="O12" i="4" l="1"/>
  <c r="J39" i="4"/>
  <c r="K39" i="4" s="1"/>
  <c r="L39" i="4" s="1"/>
  <c r="M39" i="4" s="1"/>
  <c r="N39" i="4" s="1"/>
  <c r="G57" i="4"/>
  <c r="H57" i="4" s="1"/>
  <c r="I57" i="4" s="1"/>
  <c r="O39" i="4" l="1"/>
  <c r="G40" i="4" s="1"/>
  <c r="H40" i="4" s="1"/>
  <c r="I40" i="4" s="1"/>
  <c r="J57" i="4"/>
  <c r="K57" i="4" s="1"/>
  <c r="L57" i="4" s="1"/>
  <c r="M57" i="4" s="1"/>
  <c r="N57" i="4" s="1"/>
  <c r="G13" i="4"/>
  <c r="H13" i="4" s="1"/>
  <c r="I13" i="4" s="1"/>
  <c r="J13" i="4" l="1"/>
  <c r="K13" i="4" s="1"/>
  <c r="L13" i="4" s="1"/>
  <c r="M13" i="4" s="1"/>
  <c r="N13" i="4" s="1"/>
  <c r="O57" i="4"/>
  <c r="J40" i="4"/>
  <c r="K40" i="4" s="1"/>
  <c r="L40" i="4" s="1"/>
  <c r="M40" i="4" s="1"/>
  <c r="N40" i="4" s="1"/>
  <c r="O13" i="4" l="1"/>
  <c r="O40" i="4"/>
  <c r="G41" i="4" s="1"/>
  <c r="H41" i="4" s="1"/>
  <c r="I41" i="4" s="1"/>
  <c r="G58" i="4"/>
  <c r="H58" i="4" s="1"/>
  <c r="I58" i="4" s="1"/>
  <c r="J41" i="4" l="1"/>
  <c r="K41" i="4" s="1"/>
  <c r="L41" i="4" s="1"/>
  <c r="M41" i="4" s="1"/>
  <c r="N41" i="4" s="1"/>
  <c r="J58" i="4"/>
  <c r="K58" i="4" s="1"/>
  <c r="L58" i="4" s="1"/>
  <c r="M58" i="4" s="1"/>
  <c r="N58" i="4" s="1"/>
  <c r="G14" i="4"/>
  <c r="H14" i="4" s="1"/>
  <c r="I14" i="4" s="1"/>
  <c r="C48" i="4" l="1"/>
  <c r="O41" i="4"/>
  <c r="G42" i="4" s="1"/>
  <c r="H42" i="4" s="1"/>
  <c r="I42" i="4" s="1"/>
  <c r="O58" i="4"/>
  <c r="J14" i="4"/>
  <c r="K14" i="4" s="1"/>
  <c r="L14" i="4" s="1"/>
  <c r="M14" i="4" s="1"/>
  <c r="N14" i="4" s="1"/>
  <c r="O14" i="4" l="1"/>
  <c r="J42" i="4"/>
  <c r="K42" i="4" s="1"/>
  <c r="L42" i="4" s="1"/>
  <c r="M42" i="4" s="1"/>
  <c r="N42" i="4" s="1"/>
  <c r="G59" i="4"/>
  <c r="H59" i="4" s="1"/>
  <c r="I59" i="4" s="1"/>
  <c r="O42" i="4" l="1"/>
  <c r="G43" i="4" s="1"/>
  <c r="H43" i="4" s="1"/>
  <c r="I43" i="4" s="1"/>
  <c r="J59" i="4"/>
  <c r="K59" i="4" s="1"/>
  <c r="L59" i="4" s="1"/>
  <c r="M59" i="4" s="1"/>
  <c r="N59" i="4" s="1"/>
  <c r="G15" i="4"/>
  <c r="H15" i="4" s="1"/>
  <c r="I15" i="4" s="1"/>
  <c r="J15" i="4" l="1"/>
  <c r="K15" i="4" s="1"/>
  <c r="L15" i="4" s="1"/>
  <c r="M15" i="4" s="1"/>
  <c r="N15" i="4" s="1"/>
  <c r="C66" i="4"/>
  <c r="O59" i="4"/>
  <c r="J43" i="4"/>
  <c r="K43" i="4" s="1"/>
  <c r="L43" i="4" s="1"/>
  <c r="M43" i="4" s="1"/>
  <c r="N43" i="4" s="1"/>
  <c r="O15" i="4" l="1"/>
  <c r="O43" i="4"/>
  <c r="G44" i="4" s="1"/>
  <c r="H44" i="4" s="1"/>
  <c r="I44" i="4" s="1"/>
  <c r="G60" i="4"/>
  <c r="H60" i="4" s="1"/>
  <c r="I60" i="4" s="1"/>
  <c r="J44" i="4" l="1"/>
  <c r="K44" i="4" s="1"/>
  <c r="L44" i="4" s="1"/>
  <c r="M44" i="4" s="1"/>
  <c r="N44" i="4" s="1"/>
  <c r="O44" i="4" s="1"/>
  <c r="J60" i="4"/>
  <c r="K60" i="4" s="1"/>
  <c r="L60" i="4" s="1"/>
  <c r="M60" i="4" s="1"/>
  <c r="N60" i="4" s="1"/>
  <c r="G16" i="4"/>
  <c r="H16" i="4" s="1"/>
  <c r="I16" i="4" s="1"/>
  <c r="O60" i="4" l="1"/>
  <c r="J16" i="4"/>
  <c r="K16" i="4" s="1"/>
  <c r="L16" i="4" s="1"/>
  <c r="M16" i="4" s="1"/>
  <c r="N16" i="4" s="1"/>
  <c r="C23" i="4" l="1"/>
  <c r="AJ12" i="4" s="1"/>
  <c r="O16" i="4"/>
  <c r="G61" i="4"/>
  <c r="H61" i="4" s="1"/>
  <c r="I61" i="4" s="1"/>
  <c r="AX20" i="4" l="1"/>
  <c r="AX36" i="4"/>
  <c r="AX52" i="4"/>
  <c r="AQ33" i="4"/>
  <c r="AX61" i="4"/>
  <c r="AX77" i="4"/>
  <c r="AX93" i="4"/>
  <c r="AX109" i="4"/>
  <c r="AX125" i="4"/>
  <c r="AX141" i="4"/>
  <c r="AX157" i="4"/>
  <c r="AX173" i="4"/>
  <c r="AX189" i="4"/>
  <c r="AQ269" i="4"/>
  <c r="AQ285" i="4"/>
  <c r="AQ26" i="4"/>
  <c r="AQ53" i="4"/>
  <c r="AX74" i="4"/>
  <c r="AX90" i="4"/>
  <c r="AX106" i="4"/>
  <c r="AX122" i="4"/>
  <c r="AX18" i="4"/>
  <c r="AX34" i="4"/>
  <c r="AQ50" i="4"/>
  <c r="AQ29" i="4"/>
  <c r="AX59" i="4"/>
  <c r="AX75" i="4"/>
  <c r="AX91" i="4"/>
  <c r="AX107" i="4"/>
  <c r="AX123" i="4"/>
  <c r="AX139" i="4"/>
  <c r="AX155" i="4"/>
  <c r="AX171" i="4"/>
  <c r="AX187" i="4"/>
  <c r="AQ267" i="4"/>
  <c r="AQ283" i="4"/>
  <c r="AX23" i="4"/>
  <c r="AX51" i="4"/>
  <c r="AX72" i="4"/>
  <c r="AX88" i="4"/>
  <c r="AX104" i="4"/>
  <c r="AX120" i="4"/>
  <c r="AX136" i="4"/>
  <c r="AX160" i="4"/>
  <c r="AX192" i="4"/>
  <c r="AQ145" i="4"/>
  <c r="AQ12" i="4"/>
  <c r="AX29" i="4"/>
  <c r="AX45" i="4"/>
  <c r="AX17" i="4"/>
  <c r="AQ54" i="4"/>
  <c r="AQ70" i="4"/>
  <c r="AQ86" i="4"/>
  <c r="AQ102" i="4"/>
  <c r="AX130" i="4"/>
  <c r="AX180" i="4"/>
  <c r="AQ165" i="4"/>
  <c r="AQ39" i="4"/>
  <c r="AQ38" i="4"/>
  <c r="AQ80" i="4"/>
  <c r="AQ120" i="4"/>
  <c r="AQ156" i="4"/>
  <c r="AX268" i="4"/>
  <c r="AQ28" i="4"/>
  <c r="AQ75" i="4"/>
  <c r="AQ107" i="4"/>
  <c r="AQ139" i="4"/>
  <c r="AX150" i="4"/>
  <c r="AQ272" i="4"/>
  <c r="AQ150" i="4"/>
  <c r="AX41" i="4"/>
  <c r="AQ147" i="4"/>
  <c r="AX156" i="4"/>
  <c r="AQ46" i="4"/>
  <c r="AQ160" i="4"/>
  <c r="AX37" i="4"/>
  <c r="AQ111" i="4"/>
  <c r="AX158" i="4"/>
  <c r="AQ154" i="4"/>
  <c r="AX19" i="4"/>
  <c r="AQ117" i="4"/>
  <c r="AJ13" i="4"/>
  <c r="AX24" i="4"/>
  <c r="AX40" i="4"/>
  <c r="AX55" i="4"/>
  <c r="AQ40" i="4"/>
  <c r="AQ65" i="4"/>
  <c r="AX81" i="4"/>
  <c r="AX97" i="4"/>
  <c r="AX113" i="4"/>
  <c r="AX129" i="4"/>
  <c r="AX145" i="4"/>
  <c r="AX161" i="4"/>
  <c r="AX177" i="4"/>
  <c r="AX193" i="4"/>
  <c r="AQ273" i="4"/>
  <c r="AQ289" i="4"/>
  <c r="AX35" i="4"/>
  <c r="AQ62" i="4"/>
  <c r="AX78" i="4"/>
  <c r="AX94" i="4"/>
  <c r="AX110" i="4"/>
  <c r="AX126" i="4"/>
  <c r="AX22" i="4"/>
  <c r="AX38" i="4"/>
  <c r="I54" i="4"/>
  <c r="AQ36" i="4"/>
  <c r="AQ63" i="4"/>
  <c r="AX79" i="4"/>
  <c r="AX95" i="4"/>
  <c r="AX111" i="4"/>
  <c r="AX127" i="4"/>
  <c r="AX143" i="4"/>
  <c r="AX159" i="4"/>
  <c r="AX175" i="4"/>
  <c r="AX191" i="4"/>
  <c r="AQ271" i="4"/>
  <c r="AQ287" i="4"/>
  <c r="AQ30" i="4"/>
  <c r="AQ60" i="4"/>
  <c r="AX76" i="4"/>
  <c r="AX92" i="4"/>
  <c r="AX108" i="4"/>
  <c r="AX124" i="4"/>
  <c r="AN18" i="4"/>
  <c r="R24" i="4" s="1"/>
  <c r="AQ13" i="4"/>
  <c r="AX44" i="4"/>
  <c r="P54" i="4"/>
  <c r="AX85" i="4"/>
  <c r="AX117" i="4"/>
  <c r="AX149" i="4"/>
  <c r="AX181" i="4"/>
  <c r="AQ277" i="4"/>
  <c r="AX43" i="4"/>
  <c r="AX82" i="4"/>
  <c r="AX114" i="4"/>
  <c r="AX11" i="4"/>
  <c r="AX42" i="4"/>
  <c r="AQ44" i="4"/>
  <c r="AX83" i="4"/>
  <c r="AX115" i="4"/>
  <c r="AX147" i="4"/>
  <c r="AX179" i="4"/>
  <c r="AQ275" i="4"/>
  <c r="AX39" i="4"/>
  <c r="AX80" i="4"/>
  <c r="AX112" i="4"/>
  <c r="AX144" i="4"/>
  <c r="AX275" i="4"/>
  <c r="AX21" i="4"/>
  <c r="AX53" i="4"/>
  <c r="AX62" i="4"/>
  <c r="AQ94" i="4"/>
  <c r="AX148" i="4"/>
  <c r="AQ23" i="4"/>
  <c r="AX64" i="4"/>
  <c r="AQ140" i="4"/>
  <c r="AX284" i="4"/>
  <c r="AQ91" i="4"/>
  <c r="AQ199" i="4"/>
  <c r="AQ118" i="4"/>
  <c r="AQ97" i="4"/>
  <c r="AQ173" i="4"/>
  <c r="AX272" i="4"/>
  <c r="AQ143" i="4"/>
  <c r="AQ202" i="4"/>
  <c r="AX170" i="4"/>
  <c r="AX32" i="4"/>
  <c r="AQ24" i="4"/>
  <c r="AX73" i="4"/>
  <c r="AX105" i="4"/>
  <c r="AX137" i="4"/>
  <c r="AX169" i="4"/>
  <c r="AX201" i="4"/>
  <c r="AQ20" i="4"/>
  <c r="AX70" i="4"/>
  <c r="AX102" i="4"/>
  <c r="AQ15" i="4"/>
  <c r="AX46" i="4"/>
  <c r="AQ55" i="4"/>
  <c r="AX87" i="4"/>
  <c r="AX119" i="4"/>
  <c r="AX151" i="4"/>
  <c r="AX183" i="4"/>
  <c r="AQ279" i="4"/>
  <c r="AQ47" i="4"/>
  <c r="AX84" i="4"/>
  <c r="AX116" i="4"/>
  <c r="AX140" i="4"/>
  <c r="AX168" i="4"/>
  <c r="AX200" i="4"/>
  <c r="AQ153" i="4"/>
  <c r="AX16" i="4"/>
  <c r="AX33" i="4"/>
  <c r="AQ49" i="4"/>
  <c r="AQ27" i="4"/>
  <c r="AQ58" i="4"/>
  <c r="AQ74" i="4"/>
  <c r="AQ90" i="4"/>
  <c r="AQ108" i="4"/>
  <c r="AX138" i="4"/>
  <c r="AX196" i="4"/>
  <c r="AQ14" i="4"/>
  <c r="AX47" i="4"/>
  <c r="AQ56" i="4"/>
  <c r="AQ88" i="4"/>
  <c r="AQ132" i="4"/>
  <c r="AQ164" i="4"/>
  <c r="AQ196" i="4"/>
  <c r="AX13" i="4"/>
  <c r="AQ67" i="4"/>
  <c r="AQ99" i="4"/>
  <c r="AQ131" i="4"/>
  <c r="AQ183" i="4"/>
  <c r="AX166" i="4"/>
  <c r="AX202" i="4"/>
  <c r="AQ110" i="4"/>
  <c r="AQ142" i="4"/>
  <c r="AQ174" i="4"/>
  <c r="AX270" i="4"/>
  <c r="AX25" i="4"/>
  <c r="AQ73" i="4"/>
  <c r="AQ105" i="4"/>
  <c r="AQ137" i="4"/>
  <c r="AQ195" i="4"/>
  <c r="AQ177" i="4"/>
  <c r="AX269" i="4"/>
  <c r="AX142" i="4"/>
  <c r="AX271" i="4"/>
  <c r="AQ19" i="4"/>
  <c r="AQ51" i="4"/>
  <c r="AX60" i="4"/>
  <c r="AQ92" i="4"/>
  <c r="AQ136" i="4"/>
  <c r="AQ168" i="4"/>
  <c r="AQ200" i="4"/>
  <c r="AJ17" i="4"/>
  <c r="AJ16" i="4" s="1"/>
  <c r="AQ22" i="4"/>
  <c r="AQ71" i="4"/>
  <c r="AQ103" i="4"/>
  <c r="AQ135" i="4"/>
  <c r="AQ191" i="4"/>
  <c r="AX174" i="4"/>
  <c r="AQ268" i="4"/>
  <c r="AQ114" i="4"/>
  <c r="AQ146" i="4"/>
  <c r="AQ178" i="4"/>
  <c r="AX274" i="4"/>
  <c r="AQ32" i="4"/>
  <c r="AQ77" i="4"/>
  <c r="AQ109" i="4"/>
  <c r="AQ141" i="4"/>
  <c r="AQ270" i="4"/>
  <c r="AQ181" i="4"/>
  <c r="AX273" i="4"/>
  <c r="AQ188" i="4"/>
  <c r="AX194" i="4"/>
  <c r="AQ134" i="4"/>
  <c r="AQ182" i="4"/>
  <c r="AX15" i="4"/>
  <c r="AQ81" i="4"/>
  <c r="AQ129" i="4"/>
  <c r="AQ278" i="4"/>
  <c r="AQ201" i="4"/>
  <c r="AX134" i="4"/>
  <c r="AX287" i="4"/>
  <c r="AQ43" i="4"/>
  <c r="AQ68" i="4"/>
  <c r="AQ100" i="4"/>
  <c r="AQ176" i="4"/>
  <c r="AX288" i="4"/>
  <c r="AQ95" i="4"/>
  <c r="AQ175" i="4"/>
  <c r="AX182" i="4"/>
  <c r="AQ276" i="4"/>
  <c r="AQ138" i="4"/>
  <c r="AQ186" i="4"/>
  <c r="AX48" i="4"/>
  <c r="AQ101" i="4"/>
  <c r="AQ155" i="4"/>
  <c r="AQ286" i="4"/>
  <c r="AX267" i="4"/>
  <c r="AQ11" i="4"/>
  <c r="AX101" i="4"/>
  <c r="AX165" i="4"/>
  <c r="AX14" i="4"/>
  <c r="AX98" i="4"/>
  <c r="AX26" i="4"/>
  <c r="AX67" i="4"/>
  <c r="AX131" i="4"/>
  <c r="AX195" i="4"/>
  <c r="AQ64" i="4"/>
  <c r="AX128" i="4"/>
  <c r="AQ161" i="4"/>
  <c r="AQ34" i="4"/>
  <c r="AQ116" i="4"/>
  <c r="AX54" i="4"/>
  <c r="AQ172" i="4"/>
  <c r="AQ123" i="4"/>
  <c r="AQ198" i="4"/>
  <c r="AQ128" i="4"/>
  <c r="AQ106" i="4"/>
  <c r="AQ17" i="4"/>
  <c r="AQ57" i="4"/>
  <c r="AX185" i="4"/>
  <c r="AX49" i="4"/>
  <c r="AX103" i="4"/>
  <c r="AX283" i="4"/>
  <c r="AX164" i="4"/>
  <c r="AX276" i="4"/>
  <c r="AQ190" i="4"/>
  <c r="AX285" i="4"/>
  <c r="AQ112" i="4"/>
  <c r="AQ87" i="4"/>
  <c r="AQ159" i="4"/>
  <c r="AQ130" i="4"/>
  <c r="AQ194" i="4"/>
  <c r="AX154" i="4"/>
  <c r="AQ288" i="4"/>
  <c r="AQ113" i="4"/>
  <c r="AX58" i="4"/>
  <c r="AQ274" i="4"/>
  <c r="AQ133" i="4"/>
  <c r="AX28" i="4"/>
  <c r="AX69" i="4"/>
  <c r="AX133" i="4"/>
  <c r="AX197" i="4"/>
  <c r="AX66" i="4"/>
  <c r="AN14" i="4"/>
  <c r="AN15" i="4" s="1"/>
  <c r="AX57" i="4"/>
  <c r="AX99" i="4"/>
  <c r="AX163" i="4"/>
  <c r="AX12" i="4"/>
  <c r="AX96" i="4"/>
  <c r="AX176" i="4"/>
  <c r="AQ37" i="4"/>
  <c r="AQ78" i="4"/>
  <c r="AX279" i="4"/>
  <c r="AQ96" i="4"/>
  <c r="AQ59" i="4"/>
  <c r="AX178" i="4"/>
  <c r="AQ185" i="4"/>
  <c r="AQ79" i="4"/>
  <c r="AQ69" i="4"/>
  <c r="AQ48" i="4"/>
  <c r="AX89" i="4"/>
  <c r="AX153" i="4"/>
  <c r="AQ281" i="4"/>
  <c r="AX86" i="4"/>
  <c r="AX30" i="4"/>
  <c r="AX71" i="4"/>
  <c r="AX135" i="4"/>
  <c r="AX199" i="4"/>
  <c r="AX68" i="4"/>
  <c r="AX132" i="4"/>
  <c r="AX184" i="4"/>
  <c r="AQ169" i="4"/>
  <c r="AQ41" i="4"/>
  <c r="AQ42" i="4"/>
  <c r="AQ82" i="4"/>
  <c r="AQ124" i="4"/>
  <c r="AQ149" i="4"/>
  <c r="AQ21" i="4"/>
  <c r="AQ104" i="4"/>
  <c r="AQ180" i="4"/>
  <c r="AQ45" i="4"/>
  <c r="AQ115" i="4"/>
  <c r="AQ282" i="4"/>
  <c r="AQ280" i="4"/>
  <c r="AQ158" i="4"/>
  <c r="AX286" i="4"/>
  <c r="AQ89" i="4"/>
  <c r="AQ163" i="4"/>
  <c r="AQ193" i="4"/>
  <c r="AX172" i="4"/>
  <c r="AQ35" i="4"/>
  <c r="AQ76" i="4"/>
  <c r="AQ152" i="4"/>
  <c r="AX280" i="4"/>
  <c r="AX50" i="4"/>
  <c r="AQ119" i="4"/>
  <c r="AQ290" i="4"/>
  <c r="AQ284" i="4"/>
  <c r="AQ162" i="4"/>
  <c r="AX290" i="4"/>
  <c r="AQ93" i="4"/>
  <c r="AQ171" i="4"/>
  <c r="AQ197" i="4"/>
  <c r="AQ167" i="4"/>
  <c r="AQ166" i="4"/>
  <c r="AX65" i="4"/>
  <c r="AQ179" i="4"/>
  <c r="AX277" i="4"/>
  <c r="AX27" i="4"/>
  <c r="AQ84" i="4"/>
  <c r="AQ192" i="4"/>
  <c r="AQ127" i="4"/>
  <c r="AX198" i="4"/>
  <c r="AQ170" i="4"/>
  <c r="AQ85" i="4"/>
  <c r="AQ187" i="4"/>
  <c r="AX281" i="4"/>
  <c r="AX121" i="4"/>
  <c r="AX118" i="4"/>
  <c r="AQ18" i="4"/>
  <c r="AX167" i="4"/>
  <c r="AQ16" i="4"/>
  <c r="AX100" i="4"/>
  <c r="AX152" i="4"/>
  <c r="AQ25" i="4"/>
  <c r="AX56" i="4"/>
  <c r="AQ66" i="4"/>
  <c r="AQ98" i="4"/>
  <c r="AX31" i="4"/>
  <c r="AQ72" i="4"/>
  <c r="AQ148" i="4"/>
  <c r="AQ83" i="4"/>
  <c r="AQ151" i="4"/>
  <c r="AX186" i="4"/>
  <c r="AQ126" i="4"/>
  <c r="AQ52" i="4"/>
  <c r="AQ121" i="4"/>
  <c r="AX146" i="4"/>
  <c r="AQ157" i="4"/>
  <c r="AQ31" i="4"/>
  <c r="AQ184" i="4"/>
  <c r="AX190" i="4"/>
  <c r="AQ61" i="4"/>
  <c r="AQ125" i="4"/>
  <c r="AX289" i="4"/>
  <c r="AX278" i="4"/>
  <c r="AX162" i="4"/>
  <c r="AX188" i="4"/>
  <c r="AQ144" i="4"/>
  <c r="AX63" i="4"/>
  <c r="AQ122" i="4"/>
  <c r="AX282" i="4"/>
  <c r="AQ189" i="4"/>
  <c r="J61" i="4"/>
  <c r="K61" i="4" s="1"/>
  <c r="L61" i="4" s="1"/>
  <c r="M61" i="4" s="1"/>
  <c r="N61" i="4" s="1"/>
  <c r="G17" i="4"/>
  <c r="H17" i="4" s="1"/>
  <c r="I17" i="4" s="1"/>
  <c r="O61" i="4" l="1"/>
  <c r="G62" i="4" s="1"/>
  <c r="H62" i="4" s="1"/>
  <c r="I62" i="4" s="1"/>
  <c r="J17" i="4"/>
  <c r="K17" i="4" s="1"/>
  <c r="L17" i="4" s="1"/>
  <c r="M17" i="4" s="1"/>
  <c r="N17" i="4" s="1"/>
  <c r="AC24" i="4"/>
  <c r="AF24" i="4" s="1"/>
  <c r="O17" i="4" l="1"/>
  <c r="AE24" i="4"/>
  <c r="AG24" i="4" s="1"/>
  <c r="V24" i="4" s="1"/>
  <c r="W24" i="4" s="1"/>
  <c r="AD24" i="4"/>
  <c r="J62" i="4"/>
  <c r="K62" i="4" s="1"/>
  <c r="L62" i="4" s="1"/>
  <c r="M62" i="4" s="1"/>
  <c r="N62" i="4" s="1"/>
  <c r="O62" i="4" s="1"/>
  <c r="X24" i="4" l="1"/>
  <c r="Y24" i="4" s="1"/>
  <c r="Z24" i="4" s="1"/>
  <c r="AA24" i="4" s="1"/>
  <c r="AB24" i="4" s="1"/>
  <c r="R26" i="4" s="1"/>
  <c r="AN20" i="4" s="1"/>
  <c r="G18" i="4"/>
  <c r="H18" i="4" s="1"/>
  <c r="I18" i="4" s="1"/>
  <c r="J18" i="4" l="1"/>
  <c r="K18" i="4" s="1"/>
  <c r="L18" i="4" s="1"/>
  <c r="M18" i="4" s="1"/>
  <c r="N18" i="4" s="1"/>
  <c r="O18" i="4" l="1"/>
  <c r="G19" i="4" s="1"/>
  <c r="H19" i="4" s="1"/>
  <c r="I19" i="4" s="1"/>
  <c r="J19" i="4" l="1"/>
  <c r="K19" i="4" s="1"/>
  <c r="L19" i="4" s="1"/>
  <c r="M19" i="4" s="1"/>
  <c r="N19" i="4" s="1"/>
  <c r="O19" i="4" s="1"/>
</calcChain>
</file>

<file path=xl/sharedStrings.xml><?xml version="1.0" encoding="utf-8"?>
<sst xmlns="http://schemas.openxmlformats.org/spreadsheetml/2006/main" count="113" uniqueCount="60">
  <si>
    <t>CALCULO DE LA DENSIDAD A 15ºC A PARTIR DE LA DENSIDAD OBSERVADA</t>
  </si>
  <si>
    <t>CALCULO DEL FACTOR CORRECCION VOLUMEN A PARTIR DE LA DENSIDAD A 15ºC Y TEMP. DEL PRODUCTO</t>
  </si>
  <si>
    <t>O  L  D  E  L  V  A  L     S.  A.</t>
  </si>
  <si>
    <t>CALCULO CON DOS PASOS CONSECUTIVOS DE DIFERENCIA &lt; 0.05</t>
  </si>
  <si>
    <t>CALCULO SEGUN TABLA ASTM</t>
  </si>
  <si>
    <t>CALCULO DENS. A 15ºC</t>
  </si>
  <si>
    <t>SALES (Gs/m3)</t>
  </si>
  <si>
    <t>TABLA NUEVA ( 51)</t>
  </si>
  <si>
    <t>TABLA VIEJA</t>
  </si>
  <si>
    <t>dens. observada</t>
  </si>
  <si>
    <t>temperatura</t>
  </si>
  <si>
    <t>delta t</t>
  </si>
  <si>
    <t>corrección dilatación</t>
  </si>
  <si>
    <t>aplicacion correc.</t>
  </si>
  <si>
    <t>C.E.T</t>
  </si>
  <si>
    <t>TERM1</t>
  </si>
  <si>
    <t>TERM2</t>
  </si>
  <si>
    <t>TERM3</t>
  </si>
  <si>
    <t>TERM4</t>
  </si>
  <si>
    <t>VCF</t>
  </si>
  <si>
    <t>DENS. A 15ºC</t>
  </si>
  <si>
    <t>DIFERENCIA</t>
  </si>
  <si>
    <t>dens. 15ºc</t>
  </si>
  <si>
    <t>temp. tanque</t>
  </si>
  <si>
    <t>cet</t>
  </si>
  <si>
    <t>alfa</t>
  </si>
  <si>
    <t>TABLA 53 A</t>
  </si>
  <si>
    <t>BLANCO</t>
  </si>
  <si>
    <t>CALIBR.</t>
  </si>
  <si>
    <t>CORRECC.</t>
  </si>
  <si>
    <t>TABLA  Nº 1 / 51</t>
  </si>
  <si>
    <t>ºAPI S/S</t>
  </si>
  <si>
    <t>TABLA 51</t>
  </si>
  <si>
    <t>dens. a 15ºc</t>
  </si>
  <si>
    <t>ºAPI</t>
  </si>
  <si>
    <t>SALES</t>
  </si>
  <si>
    <t>F.C.V.</t>
  </si>
  <si>
    <t>Dens.Obs.(kg/m3)</t>
  </si>
  <si>
    <t>LECTURA</t>
  </si>
  <si>
    <t>EN Gs/m3</t>
  </si>
  <si>
    <t>Temperatura  (ºC)</t>
  </si>
  <si>
    <t>Densidad a 15ºC</t>
  </si>
  <si>
    <t>DENS. S.SECO / API</t>
  </si>
  <si>
    <t>% DE AGUA + SEDIM.</t>
  </si>
  <si>
    <t>DENS. SECO SECO</t>
  </si>
  <si>
    <t>Det. Sedimentos P/Filtrado</t>
  </si>
  <si>
    <t>º A P I</t>
  </si>
  <si>
    <t>% de Sed. en vol.</t>
  </si>
  <si>
    <t xml:space="preserve"> </t>
  </si>
  <si>
    <t>Dens.de Muestra</t>
  </si>
  <si>
    <t>FACTOR VOLUMEN</t>
  </si>
  <si>
    <t>Peso de muestra</t>
  </si>
  <si>
    <t>Dens 15ºC (Kg/m3)</t>
  </si>
  <si>
    <t>Peso de membrana</t>
  </si>
  <si>
    <t>Temperatura</t>
  </si>
  <si>
    <t>Peso memb. c/mtra.</t>
  </si>
  <si>
    <t>Fact. Corrección</t>
  </si>
  <si>
    <t>CALCULO CON REDONDEO SEGUN DATOS OFRECIDOS POR YPF S.A.</t>
  </si>
  <si>
    <t>REDONDEO DE DENSIDAD Y TEMPERATURA</t>
  </si>
  <si>
    <t>CALCULO CON UN PASO DE DIFERENCIA &lt; 0.05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</si>
</sst>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00000000"/>
    <numFmt numFmtId="165" formatCode="0.00000000"/>
    <numFmt numFmtId="166" formatCode="0.00000"/>
    <numFmt numFmtId="167" formatCode="0.0000"/>
    <numFmt numFmtId="168" formatCode="0.000"/>
    <numFmt numFmtId="169" formatCode="0.0"/>
    <numFmt numFmtId="170" formatCode="0.0000000000"/>
    <numFmt numFmtId="171" formatCode="_(&quot;$&quot;\ * #,##0_);_(&quot;$&quot;\ * \(#,##0\);_(&quot;$&quot;\ * &quot;-&quot;_);_(@_)"/>
    <numFmt numFmtId="172" formatCode="0.000000"/>
  </numFmts>
  <fonts count="6">
    <font>
      <sz val="10"/>
      <name val="Arial"/>
    </font>
    <font>
      <sz val="10"/>
      <name val="Arial"/>
    </font>
    <font>
      <sz val="10"/>
      <name val="MS Sans Serif"/>
      <family val="2"/>
    </font>
    <font>
      <b/>
      <u/>
      <sz val="16"/>
      <color indexed="20"/>
      <name val="Arrus BT"/>
    </font>
    <font>
      <b/>
      <u/>
      <sz val="14"/>
      <color indexed="20"/>
      <name val="Arrus BT"/>
    </font>
    <font>
      <b/>
      <sz val="24"/>
      <color indexed="18"/>
      <name val="MS Sans Serif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mediumGray">
        <fgColor indexed="9"/>
        <bgColor indexed="10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41"/>
        <bgColor indexed="15"/>
      </patternFill>
    </fill>
    <fill>
      <patternFill patternType="solid">
        <fgColor indexed="41"/>
        <bgColor indexed="64"/>
      </patternFill>
    </fill>
    <fill>
      <patternFill patternType="lightGray">
        <fgColor indexed="12"/>
      </patternFill>
    </fill>
    <fill>
      <patternFill patternType="lightGray">
        <fgColor indexed="22"/>
      </patternFill>
    </fill>
    <fill>
      <patternFill patternType="darkGray">
        <fgColor indexed="9"/>
        <bgColor indexed="10"/>
      </patternFill>
    </fill>
    <fill>
      <patternFill patternType="solid">
        <fgColor indexed="43"/>
        <bgColor indexed="15"/>
      </patternFill>
    </fill>
    <fill>
      <patternFill patternType="solid">
        <fgColor indexed="45"/>
        <bgColor indexed="64"/>
      </patternFill>
    </fill>
    <fill>
      <patternFill patternType="mediumGray">
        <fgColor indexed="10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0" fontId="2" fillId="0" borderId="0"/>
  </cellStyleXfs>
  <cellXfs count="120">
    <xf numFmtId="0" fontId="0" fillId="0" borderId="0" xfId="0"/>
    <xf numFmtId="0" fontId="2" fillId="0" borderId="0" xfId="3"/>
    <xf numFmtId="0" fontId="3" fillId="0" borderId="0" xfId="3" applyFont="1" applyAlignment="1">
      <alignment horizontal="centerContinuous"/>
    </xf>
    <xf numFmtId="0" fontId="2" fillId="0" borderId="0" xfId="3" applyAlignment="1">
      <alignment horizontal="centerContinuous"/>
    </xf>
    <xf numFmtId="0" fontId="4" fillId="0" borderId="0" xfId="3" applyFont="1" applyAlignment="1"/>
    <xf numFmtId="0" fontId="2" fillId="0" borderId="0" xfId="3" applyAlignment="1"/>
    <xf numFmtId="0" fontId="5" fillId="0" borderId="0" xfId="3" applyFont="1" applyFill="1"/>
    <xf numFmtId="0" fontId="1" fillId="0" borderId="0" xfId="3" quotePrefix="1" applyFont="1" applyAlignment="1">
      <alignment horizontal="centerContinuous"/>
    </xf>
    <xf numFmtId="0" fontId="1" fillId="0" borderId="0" xfId="3" applyFont="1" applyAlignment="1">
      <alignment horizontal="centerContinuous"/>
    </xf>
    <xf numFmtId="0" fontId="2" fillId="0" borderId="0" xfId="3" applyProtection="1">
      <protection locked="0"/>
    </xf>
    <xf numFmtId="0" fontId="2" fillId="0" borderId="0" xfId="3" applyFill="1" applyProtection="1">
      <protection locked="0"/>
    </xf>
    <xf numFmtId="0" fontId="2" fillId="0" borderId="1" xfId="3" applyBorder="1" applyProtection="1">
      <protection locked="0"/>
    </xf>
    <xf numFmtId="0" fontId="2" fillId="0" borderId="2" xfId="3" applyBorder="1" applyProtection="1">
      <protection locked="0"/>
    </xf>
    <xf numFmtId="0" fontId="2" fillId="0" borderId="3" xfId="3" applyBorder="1"/>
    <xf numFmtId="1" fontId="2" fillId="0" borderId="0" xfId="3" applyNumberFormat="1"/>
    <xf numFmtId="0" fontId="2" fillId="0" borderId="4" xfId="3" applyBorder="1" applyProtection="1">
      <protection locked="0"/>
    </xf>
    <xf numFmtId="0" fontId="1" fillId="3" borderId="5" xfId="3" applyFont="1" applyFill="1" applyBorder="1" applyAlignment="1" applyProtection="1">
      <alignment horizontal="centerContinuous"/>
    </xf>
    <xf numFmtId="0" fontId="2" fillId="0" borderId="0" xfId="3" applyBorder="1" applyProtection="1">
      <protection locked="0"/>
    </xf>
    <xf numFmtId="169" fontId="1" fillId="4" borderId="6" xfId="3" applyNumberFormat="1" applyFont="1" applyFill="1" applyBorder="1" applyAlignment="1" applyProtection="1">
      <alignment horizontal="centerContinuous"/>
    </xf>
    <xf numFmtId="0" fontId="2" fillId="0" borderId="7" xfId="3" applyBorder="1"/>
    <xf numFmtId="0" fontId="1" fillId="5" borderId="0" xfId="3" applyFont="1" applyFill="1" applyAlignment="1">
      <alignment horizontal="center"/>
    </xf>
    <xf numFmtId="0" fontId="1" fillId="5" borderId="0" xfId="3" applyFont="1" applyFill="1"/>
    <xf numFmtId="0" fontId="1" fillId="3" borderId="8" xfId="3" applyFont="1" applyFill="1" applyBorder="1" applyAlignment="1" applyProtection="1">
      <alignment horizontal="centerContinuous"/>
    </xf>
    <xf numFmtId="0" fontId="1" fillId="6" borderId="6" xfId="3" applyFont="1" applyFill="1" applyBorder="1" applyAlignment="1" applyProtection="1">
      <alignment horizontal="center"/>
    </xf>
    <xf numFmtId="0" fontId="1" fillId="6" borderId="0" xfId="3" applyFont="1" applyFill="1" applyBorder="1" applyAlignment="1" applyProtection="1">
      <alignment horizontal="center"/>
    </xf>
    <xf numFmtId="167" fontId="1" fillId="7" borderId="0" xfId="3" applyNumberFormat="1" applyFont="1" applyFill="1" applyAlignment="1">
      <alignment horizontal="center"/>
    </xf>
    <xf numFmtId="0" fontId="1" fillId="7" borderId="0" xfId="3" applyFont="1" applyFill="1" applyAlignment="1">
      <alignment horizontal="center"/>
    </xf>
    <xf numFmtId="164" fontId="1" fillId="7" borderId="0" xfId="3" applyNumberFormat="1" applyFont="1" applyFill="1" applyAlignment="1">
      <alignment horizontal="center"/>
    </xf>
    <xf numFmtId="170" fontId="1" fillId="7" borderId="0" xfId="3" applyNumberFormat="1" applyFont="1" applyFill="1" applyAlignment="1">
      <alignment horizontal="center"/>
    </xf>
    <xf numFmtId="164" fontId="1" fillId="7" borderId="0" xfId="3" applyNumberFormat="1" applyFont="1" applyFill="1"/>
    <xf numFmtId="165" fontId="1" fillId="7" borderId="0" xfId="3" applyNumberFormat="1" applyFont="1" applyFill="1"/>
    <xf numFmtId="168" fontId="1" fillId="7" borderId="0" xfId="3" applyNumberFormat="1" applyFont="1" applyFill="1" applyAlignment="1">
      <alignment horizontal="center"/>
    </xf>
    <xf numFmtId="0" fontId="2" fillId="7" borderId="0" xfId="3" applyFill="1"/>
    <xf numFmtId="0" fontId="1" fillId="8" borderId="6" xfId="3" quotePrefix="1" applyFont="1" applyFill="1" applyBorder="1" applyAlignment="1" applyProtection="1">
      <alignment horizontal="center"/>
    </xf>
    <xf numFmtId="0" fontId="1" fillId="9" borderId="6" xfId="3" applyFont="1" applyFill="1" applyBorder="1" applyAlignment="1" applyProtection="1">
      <alignment horizontal="center"/>
    </xf>
    <xf numFmtId="0" fontId="1" fillId="9" borderId="5" xfId="3" applyFont="1" applyFill="1" applyBorder="1" applyAlignment="1" applyProtection="1">
      <alignment horizontal="centerContinuous"/>
    </xf>
    <xf numFmtId="0" fontId="1" fillId="10" borderId="0" xfId="3" applyFont="1" applyFill="1" applyAlignment="1" applyProtection="1">
      <alignment horizontal="center"/>
    </xf>
    <xf numFmtId="0" fontId="1" fillId="11" borderId="0" xfId="3" applyFont="1" applyFill="1" applyAlignment="1" applyProtection="1">
      <alignment horizontal="centerContinuous"/>
    </xf>
    <xf numFmtId="0" fontId="1" fillId="11" borderId="0" xfId="3" applyFont="1" applyFill="1" applyAlignment="1">
      <alignment horizontal="center"/>
    </xf>
    <xf numFmtId="0" fontId="1" fillId="10" borderId="0" xfId="3" applyFont="1" applyFill="1"/>
    <xf numFmtId="0" fontId="1" fillId="10" borderId="0" xfId="3" applyFont="1" applyFill="1" applyAlignment="1">
      <alignment horizontal="center"/>
    </xf>
    <xf numFmtId="0" fontId="1" fillId="0" borderId="0" xfId="3" applyFont="1"/>
    <xf numFmtId="2" fontId="1" fillId="7" borderId="0" xfId="3" applyNumberFormat="1" applyFont="1" applyFill="1" applyAlignment="1">
      <alignment horizontal="center"/>
    </xf>
    <xf numFmtId="0" fontId="1" fillId="12" borderId="0" xfId="3" applyFont="1" applyFill="1" applyAlignment="1">
      <alignment horizontal="center"/>
    </xf>
    <xf numFmtId="0" fontId="1" fillId="13" borderId="6" xfId="3" quotePrefix="1" applyFont="1" applyFill="1" applyBorder="1" applyAlignment="1" applyProtection="1">
      <alignment horizontal="center"/>
    </xf>
    <xf numFmtId="0" fontId="1" fillId="0" borderId="6" xfId="3" applyFont="1" applyFill="1" applyBorder="1" applyAlignment="1" applyProtection="1">
      <alignment horizontal="center"/>
      <protection locked="0"/>
    </xf>
    <xf numFmtId="2" fontId="1" fillId="0" borderId="6" xfId="3" applyNumberFormat="1" applyFont="1" applyBorder="1" applyAlignment="1" applyProtection="1">
      <alignment horizontal="centerContinuous"/>
      <protection locked="0"/>
    </xf>
    <xf numFmtId="0" fontId="2" fillId="10" borderId="0" xfId="3" applyFill="1" applyProtection="1"/>
    <xf numFmtId="0" fontId="2" fillId="11" borderId="0" xfId="3" applyFill="1" applyProtection="1"/>
    <xf numFmtId="0" fontId="2" fillId="11" borderId="0" xfId="3" applyFill="1"/>
    <xf numFmtId="0" fontId="2" fillId="10" borderId="0" xfId="3" applyFill="1"/>
    <xf numFmtId="0" fontId="1" fillId="4" borderId="6" xfId="3" applyFont="1" applyFill="1" applyBorder="1" applyAlignment="1">
      <alignment horizontal="center"/>
    </xf>
    <xf numFmtId="0" fontId="1" fillId="14" borderId="6" xfId="3" applyFont="1" applyFill="1" applyBorder="1" applyAlignment="1">
      <alignment horizontal="center"/>
    </xf>
    <xf numFmtId="167" fontId="1" fillId="2" borderId="0" xfId="3" applyNumberFormat="1" applyFont="1" applyFill="1" applyAlignment="1">
      <alignment horizontal="center"/>
    </xf>
    <xf numFmtId="0" fontId="1" fillId="11" borderId="0" xfId="3" applyFont="1" applyFill="1" applyAlignment="1" applyProtection="1">
      <alignment horizontal="center"/>
    </xf>
    <xf numFmtId="2" fontId="1" fillId="11" borderId="0" xfId="3" applyNumberFormat="1" applyFont="1" applyFill="1" applyAlignment="1" applyProtection="1">
      <alignment horizontal="center"/>
    </xf>
    <xf numFmtId="167" fontId="1" fillId="10" borderId="0" xfId="3" applyNumberFormat="1" applyFont="1" applyFill="1" applyAlignment="1">
      <alignment horizontal="center"/>
    </xf>
    <xf numFmtId="2" fontId="1" fillId="10" borderId="0" xfId="3" applyNumberFormat="1" applyFont="1" applyFill="1" applyAlignment="1">
      <alignment horizontal="center"/>
    </xf>
    <xf numFmtId="2" fontId="1" fillId="4" borderId="5" xfId="3" applyNumberFormat="1" applyFont="1" applyFill="1" applyBorder="1" applyAlignment="1">
      <alignment horizontal="center"/>
    </xf>
    <xf numFmtId="169" fontId="1" fillId="14" borderId="9" xfId="3" applyNumberFormat="1" applyFont="1" applyFill="1" applyBorder="1" applyAlignment="1">
      <alignment horizontal="center"/>
    </xf>
    <xf numFmtId="2" fontId="1" fillId="0" borderId="0" xfId="3" applyNumberFormat="1" applyFont="1"/>
    <xf numFmtId="167" fontId="1" fillId="4" borderId="6" xfId="3" applyNumberFormat="1" applyFont="1" applyFill="1" applyBorder="1" applyAlignment="1" applyProtection="1">
      <alignment horizontal="center"/>
    </xf>
    <xf numFmtId="0" fontId="1" fillId="3" borderId="10" xfId="3" applyFont="1" applyFill="1" applyBorder="1" applyAlignment="1" applyProtection="1">
      <alignment horizontal="centerContinuous"/>
    </xf>
    <xf numFmtId="0" fontId="1" fillId="3" borderId="11" xfId="3" applyFont="1" applyFill="1" applyBorder="1" applyAlignment="1" applyProtection="1">
      <alignment horizontal="centerContinuous"/>
    </xf>
    <xf numFmtId="0" fontId="1" fillId="3" borderId="12" xfId="3" applyFont="1" applyFill="1" applyBorder="1" applyAlignment="1" applyProtection="1">
      <alignment horizontal="centerContinuous"/>
    </xf>
    <xf numFmtId="2" fontId="1" fillId="4" borderId="9" xfId="3" applyNumberFormat="1" applyFont="1" applyFill="1" applyBorder="1" applyAlignment="1">
      <alignment horizontal="center"/>
    </xf>
    <xf numFmtId="0" fontId="1" fillId="13" borderId="6" xfId="3" applyFont="1" applyFill="1" applyBorder="1" applyAlignment="1" applyProtection="1">
      <alignment horizontal="center"/>
    </xf>
    <xf numFmtId="2" fontId="1" fillId="4" borderId="6" xfId="3" applyNumberFormat="1" applyFont="1" applyFill="1" applyBorder="1" applyAlignment="1" applyProtection="1">
      <alignment horizontal="center"/>
    </xf>
    <xf numFmtId="0" fontId="1" fillId="6" borderId="10" xfId="3" applyFont="1" applyFill="1" applyBorder="1" applyAlignment="1" applyProtection="1">
      <alignment horizontal="left"/>
    </xf>
    <xf numFmtId="0" fontId="2" fillId="6" borderId="12" xfId="3" applyFill="1" applyBorder="1" applyProtection="1"/>
    <xf numFmtId="0" fontId="1" fillId="0" borderId="0" xfId="3" applyFont="1" applyAlignment="1">
      <alignment horizontal="center"/>
    </xf>
    <xf numFmtId="0" fontId="1" fillId="0" borderId="4" xfId="3" applyFont="1" applyBorder="1" applyProtection="1">
      <protection locked="0"/>
    </xf>
    <xf numFmtId="0" fontId="1" fillId="0" borderId="0" xfId="3" applyFont="1" applyBorder="1" applyProtection="1">
      <protection locked="0"/>
    </xf>
    <xf numFmtId="0" fontId="1" fillId="6" borderId="12" xfId="3" applyFont="1" applyFill="1" applyBorder="1" applyProtection="1"/>
    <xf numFmtId="0" fontId="1" fillId="0" borderId="7" xfId="3" applyFont="1" applyBorder="1"/>
    <xf numFmtId="166" fontId="1" fillId="0" borderId="0" xfId="3" applyNumberFormat="1" applyFont="1"/>
    <xf numFmtId="3" fontId="1" fillId="0" borderId="0" xfId="3" applyNumberFormat="1" applyFont="1" applyAlignment="1">
      <alignment horizontal="center"/>
    </xf>
    <xf numFmtId="167" fontId="1" fillId="0" borderId="0" xfId="3" applyNumberFormat="1" applyFont="1"/>
    <xf numFmtId="2" fontId="1" fillId="4" borderId="6" xfId="3" applyNumberFormat="1" applyFont="1" applyFill="1" applyBorder="1" applyProtection="1"/>
    <xf numFmtId="168" fontId="1" fillId="0" borderId="0" xfId="3" applyNumberFormat="1" applyFont="1"/>
    <xf numFmtId="0" fontId="1" fillId="6" borderId="6" xfId="3" quotePrefix="1" applyFont="1" applyFill="1" applyBorder="1" applyAlignment="1" applyProtection="1">
      <alignment horizontal="left"/>
    </xf>
    <xf numFmtId="0" fontId="1" fillId="4" borderId="9" xfId="3" applyFont="1" applyFill="1" applyBorder="1" applyAlignment="1" applyProtection="1">
      <alignment horizontal="center"/>
    </xf>
    <xf numFmtId="167" fontId="1" fillId="0" borderId="6" xfId="3" applyNumberFormat="1" applyFont="1" applyBorder="1" applyProtection="1">
      <protection locked="0"/>
    </xf>
    <xf numFmtId="0" fontId="1" fillId="3" borderId="6" xfId="3" applyFont="1" applyFill="1" applyBorder="1" applyAlignment="1" applyProtection="1">
      <alignment horizontal="centerContinuous"/>
    </xf>
    <xf numFmtId="0" fontId="1" fillId="6" borderId="6" xfId="3" applyFont="1" applyFill="1" applyBorder="1" applyProtection="1"/>
    <xf numFmtId="0" fontId="1" fillId="0" borderId="6" xfId="3" applyFont="1" applyBorder="1" applyProtection="1">
      <protection locked="0"/>
    </xf>
    <xf numFmtId="0" fontId="1" fillId="0" borderId="6" xfId="3" applyFont="1" applyBorder="1" applyAlignment="1" applyProtection="1">
      <alignment horizontal="center"/>
      <protection locked="0"/>
    </xf>
    <xf numFmtId="3" fontId="2" fillId="0" borderId="0" xfId="3" applyNumberFormat="1" applyAlignment="1">
      <alignment horizontal="center"/>
    </xf>
    <xf numFmtId="0" fontId="2" fillId="0" borderId="13" xfId="3" applyBorder="1" applyProtection="1">
      <protection locked="0"/>
    </xf>
    <xf numFmtId="0" fontId="2" fillId="0" borderId="14" xfId="3" applyBorder="1" applyProtection="1">
      <protection locked="0"/>
    </xf>
    <xf numFmtId="0" fontId="2" fillId="0" borderId="15" xfId="3" applyBorder="1"/>
    <xf numFmtId="169" fontId="1" fillId="0" borderId="0" xfId="3" applyNumberFormat="1" applyFont="1"/>
    <xf numFmtId="167" fontId="1" fillId="0" borderId="0" xfId="3" applyNumberFormat="1" applyFont="1" applyAlignment="1">
      <alignment horizontal="center"/>
    </xf>
    <xf numFmtId="0" fontId="1" fillId="15" borderId="0" xfId="3" applyFont="1" applyFill="1" applyAlignment="1" applyProtection="1">
      <alignment horizontal="centerContinuous"/>
    </xf>
    <xf numFmtId="0" fontId="2" fillId="15" borderId="0" xfId="3" applyFill="1" applyAlignment="1" applyProtection="1">
      <alignment horizontal="centerContinuous"/>
    </xf>
    <xf numFmtId="1" fontId="1" fillId="1" borderId="16" xfId="3" applyNumberFormat="1" applyFont="1" applyFill="1" applyBorder="1" applyAlignment="1" applyProtection="1">
      <alignment horizontal="center"/>
    </xf>
    <xf numFmtId="169" fontId="1" fillId="1" borderId="17" xfId="3" applyNumberFormat="1" applyFont="1" applyFill="1" applyBorder="1" applyAlignment="1" applyProtection="1">
      <alignment horizontal="center"/>
    </xf>
    <xf numFmtId="1" fontId="1" fillId="1" borderId="17" xfId="3" applyNumberFormat="1" applyFont="1" applyFill="1" applyBorder="1" applyAlignment="1" applyProtection="1">
      <alignment horizontal="center"/>
    </xf>
    <xf numFmtId="0" fontId="1" fillId="1" borderId="18" xfId="3" applyFont="1" applyFill="1" applyBorder="1" applyAlignment="1" applyProtection="1">
      <alignment horizontal="center"/>
    </xf>
    <xf numFmtId="1" fontId="1" fillId="1" borderId="19" xfId="3" applyNumberFormat="1" applyFont="1" applyFill="1" applyBorder="1" applyAlignment="1" applyProtection="1">
      <alignment horizontal="center"/>
    </xf>
    <xf numFmtId="169" fontId="1" fillId="1" borderId="20" xfId="3" applyNumberFormat="1" applyFont="1" applyFill="1" applyBorder="1" applyAlignment="1" applyProtection="1">
      <alignment horizontal="center"/>
    </xf>
    <xf numFmtId="2" fontId="1" fillId="1" borderId="20" xfId="3" applyNumberFormat="1" applyFont="1" applyFill="1" applyBorder="1" applyAlignment="1" applyProtection="1">
      <alignment horizontal="center"/>
    </xf>
    <xf numFmtId="0" fontId="1" fillId="1" borderId="20" xfId="3" applyFont="1" applyFill="1" applyBorder="1" applyProtection="1"/>
    <xf numFmtId="0" fontId="1" fillId="1" borderId="21" xfId="3" applyFont="1" applyFill="1" applyBorder="1" applyProtection="1"/>
    <xf numFmtId="2" fontId="1" fillId="4" borderId="22" xfId="3" applyNumberFormat="1" applyFont="1" applyFill="1" applyBorder="1" applyAlignment="1">
      <alignment horizontal="center"/>
    </xf>
    <xf numFmtId="169" fontId="1" fillId="14" borderId="22" xfId="3" applyNumberFormat="1" applyFont="1" applyFill="1" applyBorder="1" applyAlignment="1">
      <alignment horizontal="center"/>
    </xf>
    <xf numFmtId="2" fontId="1" fillId="0" borderId="0" xfId="3" applyNumberFormat="1" applyFont="1" applyAlignment="1" applyProtection="1">
      <alignment horizontal="center"/>
    </xf>
    <xf numFmtId="0" fontId="1" fillId="3" borderId="10" xfId="3" applyFont="1" applyFill="1" applyBorder="1" applyAlignment="1" applyProtection="1">
      <alignment horizontal="center"/>
    </xf>
    <xf numFmtId="0" fontId="1" fillId="3" borderId="12" xfId="3" applyFont="1" applyFill="1" applyBorder="1" applyAlignment="1" applyProtection="1">
      <alignment horizontal="center"/>
    </xf>
    <xf numFmtId="0" fontId="1" fillId="6" borderId="10" xfId="3" applyFont="1" applyFill="1" applyBorder="1" applyAlignment="1">
      <alignment horizontal="center"/>
    </xf>
    <xf numFmtId="0" fontId="1" fillId="6" borderId="12" xfId="3" applyFont="1" applyFill="1" applyBorder="1" applyAlignment="1">
      <alignment horizontal="center"/>
    </xf>
    <xf numFmtId="0" fontId="1" fillId="6" borderId="12" xfId="3" applyFont="1" applyFill="1" applyBorder="1" applyAlignment="1" applyProtection="1">
      <alignment horizontal="left"/>
    </xf>
    <xf numFmtId="0" fontId="1" fillId="6" borderId="10" xfId="3" applyFont="1" applyFill="1" applyBorder="1" applyAlignment="1" applyProtection="1">
      <alignment horizontal="center"/>
    </xf>
    <xf numFmtId="0" fontId="1" fillId="6" borderId="12" xfId="3" applyFont="1" applyFill="1" applyBorder="1" applyAlignment="1" applyProtection="1">
      <alignment horizontal="center"/>
    </xf>
    <xf numFmtId="172" fontId="1" fillId="0" borderId="0" xfId="3" applyNumberFormat="1" applyFont="1" applyAlignment="1">
      <alignment horizontal="center"/>
    </xf>
    <xf numFmtId="167" fontId="1" fillId="4" borderId="6" xfId="3" applyNumberFormat="1" applyFont="1" applyFill="1" applyBorder="1" applyProtection="1"/>
    <xf numFmtId="168" fontId="0" fillId="0" borderId="6" xfId="3" applyNumberFormat="1" applyFont="1" applyBorder="1" applyProtection="1">
      <protection locked="0"/>
    </xf>
    <xf numFmtId="0" fontId="2" fillId="0" borderId="0" xfId="3"/>
    <xf numFmtId="0" fontId="3" fillId="0" borderId="0" xfId="3" applyFont="1" applyAlignment="1">
      <alignment horizontal="center"/>
    </xf>
    <xf numFmtId="0" fontId="2" fillId="0" borderId="0" xfId="3" applyAlignment="1">
      <alignment horizontal="center"/>
    </xf>
  </cellXfs>
  <cellStyles count="4">
    <cellStyle name="Moneda [0}_T1A" xfId="1"/>
    <cellStyle name="Moneda [0o_T.E  UTILES" xfId="2"/>
    <cellStyle name="Normal" xfId="0" builtinId="0"/>
    <cellStyle name="Normal_Dens-sal.Fcv.Api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J2113"/>
  <sheetViews>
    <sheetView tabSelected="1" topLeftCell="AB1" zoomScaleNormal="100" workbookViewId="0">
      <selection activeCell="AJ12" sqref="AJ12"/>
    </sheetView>
  </sheetViews>
  <sheetFormatPr baseColWidth="10" defaultColWidth="8.42578125" defaultRowHeight="12.75"/>
  <cols>
    <col min="1" max="1" width="2.7109375" style="1" customWidth="1"/>
    <col min="2" max="2" width="8.42578125" style="1" customWidth="1"/>
    <col min="3" max="3" width="15" style="1" customWidth="1"/>
    <col min="4" max="4" width="9.42578125" style="1" customWidth="1"/>
    <col min="5" max="5" width="8.42578125" style="1" customWidth="1"/>
    <col min="6" max="6" width="15.42578125" style="1" customWidth="1"/>
    <col min="7" max="7" width="15" style="1" customWidth="1"/>
    <col min="8" max="8" width="14.5703125" style="1" customWidth="1"/>
    <col min="9" max="9" width="12.28515625" style="1" customWidth="1"/>
    <col min="10" max="10" width="13.42578125" style="1" customWidth="1"/>
    <col min="11" max="11" width="17.5703125" style="1" customWidth="1"/>
    <col min="12" max="12" width="15.28515625" style="1" customWidth="1"/>
    <col min="13" max="13" width="8.42578125" style="1" customWidth="1"/>
    <col min="14" max="14" width="11.140625" style="1" customWidth="1"/>
    <col min="15" max="15" width="10.140625" style="1" customWidth="1"/>
    <col min="16" max="17" width="8.42578125" style="1" customWidth="1"/>
    <col min="18" max="18" width="15.28515625" style="1" customWidth="1"/>
    <col min="19" max="19" width="10.7109375" style="1" customWidth="1"/>
    <col min="20" max="21" width="8.42578125" style="1" customWidth="1"/>
    <col min="22" max="22" width="14.5703125" style="1" customWidth="1"/>
    <col min="23" max="23" width="11.5703125" style="1" customWidth="1"/>
    <col min="24" max="24" width="11.42578125" style="1" customWidth="1"/>
    <col min="25" max="26" width="12.140625" style="1" customWidth="1"/>
    <col min="27" max="27" width="8.42578125" style="1" customWidth="1"/>
    <col min="28" max="28" width="11.42578125" style="1" customWidth="1"/>
    <col min="29" max="33" width="8.42578125" style="1" customWidth="1"/>
    <col min="34" max="34" width="3.28515625" style="1" customWidth="1"/>
    <col min="35" max="35" width="23.28515625" style="1" customWidth="1"/>
    <col min="36" max="36" width="11.5703125" style="1" customWidth="1"/>
    <col min="37" max="37" width="2.5703125" style="1" customWidth="1"/>
    <col min="38" max="38" width="17.5703125" style="1" customWidth="1"/>
    <col min="39" max="39" width="9.140625" style="1" customWidth="1"/>
    <col min="40" max="40" width="9.85546875" style="1" customWidth="1"/>
    <col min="41" max="41" width="1.28515625" style="1" customWidth="1"/>
    <col min="42" max="56" width="8.42578125" style="1" customWidth="1"/>
    <col min="57" max="57" width="12" style="1" customWidth="1"/>
    <col min="58" max="58" width="9.140625" style="1" customWidth="1"/>
    <col min="59" max="59" width="14.42578125" style="1" bestFit="1" customWidth="1"/>
    <col min="60" max="60" width="5.7109375" style="1" customWidth="1"/>
    <col min="61" max="61" width="14.28515625" style="1" customWidth="1"/>
    <col min="62" max="16384" width="8.42578125" style="1"/>
  </cols>
  <sheetData>
    <row r="2" spans="1:62">
      <c r="A2" s="117"/>
      <c r="B2" s="117"/>
      <c r="C2" s="117"/>
      <c r="D2" s="117"/>
      <c r="E2" s="117"/>
      <c r="F2" s="117"/>
      <c r="G2" s="117"/>
      <c r="H2" s="117"/>
      <c r="I2" s="117"/>
    </row>
    <row r="3" spans="1:62" ht="15" customHeight="1">
      <c r="A3" s="117"/>
      <c r="B3" s="117"/>
      <c r="C3" s="118" t="s">
        <v>0</v>
      </c>
      <c r="D3" s="119"/>
      <c r="E3" s="119"/>
      <c r="F3" s="119"/>
      <c r="G3" s="119"/>
      <c r="H3" s="119"/>
      <c r="I3" s="119"/>
      <c r="J3" s="3"/>
      <c r="K3" s="3"/>
      <c r="L3" s="3"/>
      <c r="M3" s="3"/>
      <c r="N3" s="3"/>
      <c r="O3" s="3"/>
      <c r="R3" s="4" t="s">
        <v>1</v>
      </c>
      <c r="S3" s="5"/>
      <c r="T3" s="5"/>
      <c r="U3" s="5"/>
      <c r="V3" s="5"/>
      <c r="W3" s="5"/>
      <c r="X3" s="5"/>
      <c r="Y3" s="5"/>
      <c r="Z3" s="5"/>
      <c r="AA3" s="5"/>
      <c r="AB3" s="5"/>
      <c r="AH3" s="6"/>
      <c r="AI3" s="7" t="s">
        <v>2</v>
      </c>
      <c r="AJ3" s="3"/>
      <c r="AK3" s="3"/>
      <c r="AL3" s="3"/>
      <c r="AM3" s="3"/>
      <c r="AN3" s="3"/>
      <c r="BG3" s="1">
        <v>349615579181</v>
      </c>
    </row>
    <row r="5" spans="1:62" ht="13.5" customHeight="1" thickBot="1">
      <c r="C5" s="8" t="s">
        <v>3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S5" s="3"/>
      <c r="T5" s="3"/>
      <c r="U5" s="3"/>
      <c r="V5" s="3"/>
      <c r="W5" s="3"/>
      <c r="X5" s="3"/>
      <c r="Y5" s="3"/>
      <c r="Z5" s="3"/>
      <c r="AA5" s="3"/>
      <c r="AB5" s="3"/>
      <c r="AH5" s="9"/>
      <c r="AI5" s="9"/>
      <c r="AJ5" s="9"/>
      <c r="AK5" s="9"/>
      <c r="AL5" s="10">
        <f>3055460+3422590</f>
        <v>6478050</v>
      </c>
      <c r="AM5" s="9"/>
      <c r="AN5" s="9"/>
    </row>
    <row r="6" spans="1:62" ht="15" customHeight="1" thickBot="1">
      <c r="C6" s="117"/>
      <c r="H6" s="117"/>
      <c r="I6" s="117"/>
      <c r="R6" s="8" t="s">
        <v>4</v>
      </c>
      <c r="S6" s="3"/>
      <c r="T6" s="3"/>
      <c r="U6" s="3"/>
      <c r="V6" s="3"/>
      <c r="W6" s="3"/>
      <c r="X6" s="3"/>
      <c r="Y6" s="3"/>
      <c r="Z6" s="3"/>
      <c r="AA6" s="3"/>
      <c r="AB6" s="3"/>
      <c r="AH6" s="11"/>
      <c r="AI6" s="12"/>
      <c r="AJ6" s="12"/>
      <c r="AK6" s="12"/>
      <c r="AL6" s="12"/>
      <c r="AM6" s="12"/>
      <c r="AN6" s="12"/>
      <c r="AO6" s="13"/>
      <c r="BG6" s="14">
        <f>7073862*0.4%</f>
        <v>28295.448</v>
      </c>
    </row>
    <row r="7" spans="1:62" ht="13.5" thickBot="1">
      <c r="C7" s="117"/>
      <c r="H7" s="117"/>
      <c r="I7" s="117"/>
      <c r="AH7" s="15"/>
      <c r="AI7" s="16" t="s">
        <v>5</v>
      </c>
      <c r="AJ7" s="16"/>
      <c r="AK7" s="17"/>
      <c r="AL7" s="107" t="s">
        <v>6</v>
      </c>
      <c r="AM7" s="108"/>
      <c r="AN7" s="18">
        <f>LOOKUP(AN9,BC11:BD50)</f>
        <v>15896.1</v>
      </c>
      <c r="AO7" s="19"/>
      <c r="AP7" s="8"/>
      <c r="AQ7" s="8" t="s">
        <v>7</v>
      </c>
      <c r="AR7" s="8"/>
      <c r="AS7" s="8"/>
      <c r="AU7" s="8"/>
      <c r="AV7" s="3"/>
      <c r="AW7" s="8" t="s">
        <v>8</v>
      </c>
      <c r="AX7" s="3"/>
      <c r="AY7" s="3"/>
      <c r="AZ7" s="3"/>
      <c r="BG7" s="14">
        <f>7073862-BG6</f>
        <v>7045566.5520000001</v>
      </c>
    </row>
    <row r="8" spans="1:62" ht="13.5" thickBot="1">
      <c r="C8" s="20" t="s">
        <v>9</v>
      </c>
      <c r="D8" s="20" t="s">
        <v>10</v>
      </c>
      <c r="E8" s="20" t="s">
        <v>11</v>
      </c>
      <c r="F8" s="20" t="s">
        <v>12</v>
      </c>
      <c r="G8" s="21" t="s">
        <v>13</v>
      </c>
      <c r="H8" s="20" t="s">
        <v>14</v>
      </c>
      <c r="I8" s="20" t="s">
        <v>15</v>
      </c>
      <c r="J8" s="20" t="s">
        <v>16</v>
      </c>
      <c r="K8" s="20" t="s">
        <v>17</v>
      </c>
      <c r="L8" s="20" t="s">
        <v>18</v>
      </c>
      <c r="M8" s="20" t="s">
        <v>19</v>
      </c>
      <c r="N8" s="21" t="s">
        <v>20</v>
      </c>
      <c r="O8" s="20" t="s">
        <v>21</v>
      </c>
      <c r="R8" s="20" t="s">
        <v>22</v>
      </c>
      <c r="S8" s="20" t="s">
        <v>23</v>
      </c>
      <c r="T8" s="20" t="s">
        <v>11</v>
      </c>
      <c r="U8" s="20" t="s">
        <v>24</v>
      </c>
      <c r="V8" s="20" t="s">
        <v>25</v>
      </c>
      <c r="W8" s="20" t="s">
        <v>15</v>
      </c>
      <c r="X8" s="20" t="s">
        <v>16</v>
      </c>
      <c r="Y8" s="20" t="s">
        <v>17</v>
      </c>
      <c r="Z8" s="20" t="s">
        <v>18</v>
      </c>
      <c r="AA8" s="20" t="s">
        <v>19</v>
      </c>
      <c r="AB8" s="20" t="s">
        <v>19</v>
      </c>
      <c r="AH8" s="15"/>
      <c r="AI8" s="22" t="s">
        <v>26</v>
      </c>
      <c r="AJ8" s="22"/>
      <c r="AK8" s="17"/>
      <c r="AL8" s="23" t="s">
        <v>27</v>
      </c>
      <c r="AM8" s="24" t="s">
        <v>28</v>
      </c>
      <c r="AN8" s="23" t="s">
        <v>29</v>
      </c>
      <c r="AO8" s="19"/>
    </row>
    <row r="9" spans="1:62" ht="14.25" thickTop="1" thickBot="1">
      <c r="C9" s="25">
        <f>IF(AJ10&gt;0,AJ10,0)</f>
        <v>899</v>
      </c>
      <c r="D9" s="26">
        <f>AJ11</f>
        <v>25</v>
      </c>
      <c r="E9" s="26">
        <f t="shared" ref="E9:E19" si="0">D9-15</f>
        <v>10</v>
      </c>
      <c r="F9" s="27">
        <f t="shared" ref="F9:F19" si="1">ROUND(1-ROUND(0.000023*E9,9)-ROUND(0.00000002*E9*E9,9),9)</f>
        <v>0.99976799999999999</v>
      </c>
      <c r="G9" s="26">
        <f>ROUND(C9*F9,2)</f>
        <v>898.79</v>
      </c>
      <c r="H9" s="28">
        <f>ROUND(TRUNC(TRUNC(613.9723/G9,10)/G9,10),7)</f>
        <v>7.6000000000000004E-4</v>
      </c>
      <c r="I9" s="29">
        <f t="shared" ref="I9:I19" si="2">TRUNC(H9*E9,9)</f>
        <v>7.6E-3</v>
      </c>
      <c r="J9" s="29">
        <f t="shared" ref="J9:J19" si="3">TRUNC(0.8*I9,9)</f>
        <v>6.0800000000000003E-3</v>
      </c>
      <c r="K9" s="29">
        <f t="shared" ref="K9:K19" si="4">ROUND(I9*J9,9)</f>
        <v>4.6208000000000002E-5</v>
      </c>
      <c r="L9" s="30">
        <f t="shared" ref="L9:L19" si="5">TRUNC(-I9-K9,7)</f>
        <v>-7.6461999999999997E-3</v>
      </c>
      <c r="M9" s="26">
        <f t="shared" ref="M9:M19" si="6">ROUND(EXP(L9),6)</f>
        <v>0.99238300000000002</v>
      </c>
      <c r="N9" s="31">
        <f>ROUND($G$9/M9,3)</f>
        <v>905.68899999999996</v>
      </c>
      <c r="O9" s="32"/>
      <c r="R9" s="25">
        <v>844</v>
      </c>
      <c r="S9" s="26">
        <v>34.75</v>
      </c>
      <c r="T9" s="26">
        <f>S9-15</f>
        <v>19.75</v>
      </c>
      <c r="U9" s="26">
        <v>613.97230000000002</v>
      </c>
      <c r="V9" s="28">
        <f>ROUND(U9/R9/R9,7)</f>
        <v>8.6189999999999997E-4</v>
      </c>
      <c r="W9" s="29">
        <f>ROUND(V9*T9,8)</f>
        <v>1.7022530000000001E-2</v>
      </c>
      <c r="X9" s="29">
        <f>ROUND(0.8*W9,8)</f>
        <v>1.361802E-2</v>
      </c>
      <c r="Y9" s="29">
        <f>ROUND(W9*X9,8)</f>
        <v>2.3180999999999999E-4</v>
      </c>
      <c r="Z9" s="30">
        <f>ROUND(-W9-Y9,7)</f>
        <v>-1.72543E-2</v>
      </c>
      <c r="AA9" s="26">
        <f>TRUNC(EXP(Z9),6)</f>
        <v>0.98289300000000002</v>
      </c>
      <c r="AB9" s="25">
        <f>ROUND(AA9,4)</f>
        <v>0.9829</v>
      </c>
      <c r="AH9" s="15"/>
      <c r="AI9" s="33" t="s">
        <v>30</v>
      </c>
      <c r="AJ9" s="34">
        <v>1</v>
      </c>
      <c r="AK9" s="17"/>
      <c r="AL9" s="35">
        <v>0.2</v>
      </c>
      <c r="AM9" s="34"/>
      <c r="AN9" s="34">
        <f>AL9+AM9</f>
        <v>0.2</v>
      </c>
      <c r="AO9" s="19"/>
      <c r="AQ9" s="36" t="s">
        <v>31</v>
      </c>
      <c r="AR9" s="37" t="s">
        <v>32</v>
      </c>
      <c r="AS9" s="37"/>
      <c r="AX9" s="38" t="s">
        <v>31</v>
      </c>
      <c r="AY9" s="39" t="s">
        <v>33</v>
      </c>
      <c r="AZ9" s="40" t="s">
        <v>34</v>
      </c>
      <c r="BC9" s="109" t="s">
        <v>35</v>
      </c>
      <c r="BD9" s="110"/>
    </row>
    <row r="10" spans="1:62" ht="13.5" thickBot="1">
      <c r="A10" s="41"/>
      <c r="C10" s="25">
        <f>C9</f>
        <v>899</v>
      </c>
      <c r="D10" s="26">
        <f>D9</f>
        <v>25</v>
      </c>
      <c r="E10" s="26">
        <f t="shared" si="0"/>
        <v>10</v>
      </c>
      <c r="F10" s="27">
        <f t="shared" si="1"/>
        <v>0.99976799999999999</v>
      </c>
      <c r="G10" s="42">
        <f>ROUND(N9,2)</f>
        <v>905.69</v>
      </c>
      <c r="H10" s="28">
        <f t="shared" ref="H10:H19" si="7">IF(G10=0,0,ROUND(TRUNC(TRUNC(613.9723/G10,10)/G10,10),7))</f>
        <v>7.4850000000000003E-4</v>
      </c>
      <c r="I10" s="29">
        <f t="shared" si="2"/>
        <v>7.4850000000000003E-3</v>
      </c>
      <c r="J10" s="29">
        <f t="shared" si="3"/>
        <v>5.9880000000000003E-3</v>
      </c>
      <c r="K10" s="29">
        <f t="shared" si="4"/>
        <v>4.4820000000000001E-5</v>
      </c>
      <c r="L10" s="30">
        <f t="shared" si="5"/>
        <v>-7.5297999999999997E-3</v>
      </c>
      <c r="M10" s="26">
        <f t="shared" si="6"/>
        <v>0.99249799999999999</v>
      </c>
      <c r="N10" s="31">
        <f t="shared" ref="N10:N19" si="8">IF(M10=1,N9,ROUND($G$9/M10,3))</f>
        <v>905.58399999999995</v>
      </c>
      <c r="O10" s="26">
        <f t="shared" ref="O10:O19" si="9">ABS(N9-N10)</f>
        <v>0.10500000000001819</v>
      </c>
      <c r="R10" s="43" t="s">
        <v>36</v>
      </c>
      <c r="AH10" s="15"/>
      <c r="AI10" s="44" t="s">
        <v>37</v>
      </c>
      <c r="AJ10" s="45">
        <v>899</v>
      </c>
      <c r="AK10" s="17"/>
      <c r="AL10" s="112" t="s">
        <v>38</v>
      </c>
      <c r="AM10" s="113"/>
      <c r="AN10" s="46">
        <v>93</v>
      </c>
      <c r="AO10" s="19"/>
      <c r="AQ10" s="47"/>
      <c r="AR10" s="48"/>
      <c r="AS10" s="48"/>
      <c r="AX10" s="49"/>
      <c r="AY10" s="50"/>
      <c r="AZ10" s="50"/>
      <c r="BC10" s="51" t="s">
        <v>27</v>
      </c>
      <c r="BD10" s="52" t="s">
        <v>39</v>
      </c>
    </row>
    <row r="11" spans="1:62" ht="13.5" thickBot="1">
      <c r="C11" s="25">
        <f>C9</f>
        <v>899</v>
      </c>
      <c r="D11" s="26">
        <f>D9</f>
        <v>25</v>
      </c>
      <c r="E11" s="26">
        <f t="shared" si="0"/>
        <v>10</v>
      </c>
      <c r="F11" s="27">
        <f t="shared" si="1"/>
        <v>0.99976799999999999</v>
      </c>
      <c r="G11" s="42">
        <f>ROUND(N10,2)</f>
        <v>905.58</v>
      </c>
      <c r="H11" s="28">
        <f t="shared" si="7"/>
        <v>7.4870000000000004E-4</v>
      </c>
      <c r="I11" s="29">
        <f t="shared" si="2"/>
        <v>7.4869999999999997E-3</v>
      </c>
      <c r="J11" s="29">
        <f t="shared" si="3"/>
        <v>5.9896000000000003E-3</v>
      </c>
      <c r="K11" s="29">
        <f t="shared" si="4"/>
        <v>4.4844E-5</v>
      </c>
      <c r="L11" s="30">
        <f t="shared" si="5"/>
        <v>-7.5318E-3</v>
      </c>
      <c r="M11" s="26">
        <f t="shared" si="6"/>
        <v>0.99249600000000004</v>
      </c>
      <c r="N11" s="31">
        <f t="shared" si="8"/>
        <v>905.58600000000001</v>
      </c>
      <c r="O11" s="26">
        <f t="shared" si="9"/>
        <v>2.0000000000663931E-3</v>
      </c>
      <c r="R11" s="53">
        <f>AB9</f>
        <v>0.9829</v>
      </c>
      <c r="AH11" s="15"/>
      <c r="AI11" s="44" t="s">
        <v>40</v>
      </c>
      <c r="AJ11" s="45">
        <v>25</v>
      </c>
      <c r="AK11" s="17"/>
      <c r="AL11" s="17"/>
      <c r="AM11" s="17"/>
      <c r="AN11" s="17"/>
      <c r="AO11" s="19"/>
      <c r="AQ11" s="36">
        <f t="shared" ref="AQ11:AQ74" si="10">IF(AND(($AJ$12*1000)&gt;0,($AJ$12*1000)&gt;AR11,($AJ$12*1000)&lt;AR12),AS11-ROUND((((($AJ$12*1000)-AR11)*ABS(AS11-AS12))/ABS(AR11-AR12)),2),IF(($AJ$12*1000)=AR11,AS11,0))</f>
        <v>0</v>
      </c>
      <c r="AR11" s="54">
        <v>655</v>
      </c>
      <c r="AS11" s="55">
        <v>84.49</v>
      </c>
      <c r="AX11" s="54">
        <f t="shared" ref="AX11:AX74" si="11">IF(AND(($AJ$12)&gt;0,($AJ$12)&gt;AY11,($AJ$12)&lt;AY12),AZ11-ROUND((((($AJ$12)-AY11)*ABS(AZ11-AZ12))/ABS(AY11-AY12)),2),IF(($AJ$12)=AY11,AZ11,0))</f>
        <v>0</v>
      </c>
      <c r="AY11" s="56">
        <v>0.74</v>
      </c>
      <c r="AZ11" s="57">
        <v>59.65</v>
      </c>
      <c r="BC11" s="58">
        <v>9.9999999999998996E-3</v>
      </c>
      <c r="BD11" s="59">
        <f>IF($AN$10&gt;0.34,171.5*$AN$10-22,113.8*$AN$10-1.21)</f>
        <v>15927.5</v>
      </c>
      <c r="BF11" s="60"/>
    </row>
    <row r="12" spans="1:62" ht="13.5" thickBot="1">
      <c r="C12" s="25">
        <f>C9</f>
        <v>899</v>
      </c>
      <c r="D12" s="26">
        <f>D9</f>
        <v>25</v>
      </c>
      <c r="E12" s="26">
        <f t="shared" si="0"/>
        <v>10</v>
      </c>
      <c r="F12" s="27">
        <f t="shared" si="1"/>
        <v>0.99976799999999999</v>
      </c>
      <c r="G12" s="42">
        <f t="shared" ref="G12:G19" si="12">ROUND(IF(AND(O10&lt;0.05,O11&lt;0.05),0,N11),2)</f>
        <v>905.59</v>
      </c>
      <c r="H12" s="28">
        <f t="shared" si="7"/>
        <v>7.4870000000000004E-4</v>
      </c>
      <c r="I12" s="29">
        <f t="shared" si="2"/>
        <v>7.4869999999999997E-3</v>
      </c>
      <c r="J12" s="29">
        <f t="shared" si="3"/>
        <v>5.9896000000000003E-3</v>
      </c>
      <c r="K12" s="29">
        <f t="shared" si="4"/>
        <v>4.4844E-5</v>
      </c>
      <c r="L12" s="30">
        <f t="shared" si="5"/>
        <v>-7.5318E-3</v>
      </c>
      <c r="M12" s="26">
        <f t="shared" si="6"/>
        <v>0.99249600000000004</v>
      </c>
      <c r="N12" s="31">
        <f t="shared" si="8"/>
        <v>905.58600000000001</v>
      </c>
      <c r="O12" s="26">
        <f t="shared" si="9"/>
        <v>0</v>
      </c>
      <c r="AH12" s="9"/>
      <c r="AI12" s="44" t="s">
        <v>41</v>
      </c>
      <c r="AJ12" s="61">
        <f>C23</f>
        <v>0.90559999999999996</v>
      </c>
      <c r="AK12" s="17"/>
      <c r="AL12" s="62" t="s">
        <v>42</v>
      </c>
      <c r="AM12" s="63"/>
      <c r="AN12" s="64"/>
      <c r="AO12" s="19"/>
      <c r="AQ12" s="36">
        <f t="shared" si="10"/>
        <v>0</v>
      </c>
      <c r="AR12" s="54">
        <v>656</v>
      </c>
      <c r="AS12" s="55">
        <v>84.16</v>
      </c>
      <c r="AX12" s="54">
        <f t="shared" si="11"/>
        <v>0</v>
      </c>
      <c r="AY12" s="56">
        <f t="shared" ref="AY12:AY75" si="13">AY11+0.0001</f>
        <v>0.74009999999999998</v>
      </c>
      <c r="AZ12" s="57">
        <v>59.62</v>
      </c>
      <c r="BC12" s="65">
        <v>1.99999999999999E-2</v>
      </c>
      <c r="BD12" s="59">
        <f>IF($AN$10&gt;0.35,171.5*$AN$10-23.7,113.8*$AN$10-2.35)</f>
        <v>15925.8</v>
      </c>
      <c r="BF12" s="60"/>
    </row>
    <row r="13" spans="1:62" ht="13.5" thickBot="1">
      <c r="C13" s="25">
        <f>C9</f>
        <v>899</v>
      </c>
      <c r="D13" s="26">
        <f>D9</f>
        <v>25</v>
      </c>
      <c r="E13" s="26">
        <f t="shared" si="0"/>
        <v>10</v>
      </c>
      <c r="F13" s="27">
        <f t="shared" si="1"/>
        <v>0.99976799999999999</v>
      </c>
      <c r="G13" s="42">
        <f t="shared" si="12"/>
        <v>0</v>
      </c>
      <c r="H13" s="28">
        <f t="shared" si="7"/>
        <v>0</v>
      </c>
      <c r="I13" s="29">
        <f t="shared" si="2"/>
        <v>0</v>
      </c>
      <c r="J13" s="29">
        <f t="shared" si="3"/>
        <v>0</v>
      </c>
      <c r="K13" s="29">
        <f t="shared" si="4"/>
        <v>0</v>
      </c>
      <c r="L13" s="30">
        <f t="shared" si="5"/>
        <v>0</v>
      </c>
      <c r="M13" s="26">
        <f t="shared" si="6"/>
        <v>1</v>
      </c>
      <c r="N13" s="31">
        <f t="shared" si="8"/>
        <v>905.58600000000001</v>
      </c>
      <c r="O13" s="26">
        <f t="shared" si="9"/>
        <v>0</v>
      </c>
      <c r="AH13" s="15"/>
      <c r="AI13" s="66" t="s">
        <v>34</v>
      </c>
      <c r="AJ13" s="67">
        <f>(141.5/AJ12)-131.5</f>
        <v>24.75</v>
      </c>
      <c r="AK13" s="17"/>
      <c r="AL13" s="68" t="s">
        <v>43</v>
      </c>
      <c r="AM13" s="69"/>
      <c r="AN13" s="116">
        <v>0.2</v>
      </c>
      <c r="AO13" s="19"/>
      <c r="AQ13" s="36">
        <f t="shared" si="10"/>
        <v>0</v>
      </c>
      <c r="AR13" s="54">
        <v>657</v>
      </c>
      <c r="AS13" s="55">
        <v>83.84</v>
      </c>
      <c r="AT13" s="70"/>
      <c r="AX13" s="54">
        <f t="shared" si="11"/>
        <v>0</v>
      </c>
      <c r="AY13" s="56">
        <f t="shared" si="13"/>
        <v>0.74019999999999997</v>
      </c>
      <c r="AZ13" s="57">
        <v>59.6</v>
      </c>
      <c r="BC13" s="65">
        <v>2.9999999999999898E-2</v>
      </c>
      <c r="BD13" s="59">
        <f>IF($AN$10&gt;0.36,171.5*$AN$10-25.3,113.8*$AN$10-3.48)</f>
        <v>15924.2</v>
      </c>
      <c r="BF13" s="60"/>
    </row>
    <row r="14" spans="1:62" s="41" customFormat="1" ht="13.5" thickBot="1">
      <c r="C14" s="25">
        <f>C9</f>
        <v>899</v>
      </c>
      <c r="D14" s="26">
        <f>D9</f>
        <v>25</v>
      </c>
      <c r="E14" s="26">
        <f t="shared" si="0"/>
        <v>10</v>
      </c>
      <c r="F14" s="27">
        <f t="shared" si="1"/>
        <v>0.99976799999999999</v>
      </c>
      <c r="G14" s="42">
        <f t="shared" si="12"/>
        <v>0</v>
      </c>
      <c r="H14" s="28">
        <f t="shared" si="7"/>
        <v>0</v>
      </c>
      <c r="I14" s="29">
        <f t="shared" si="2"/>
        <v>0</v>
      </c>
      <c r="J14" s="29">
        <f t="shared" si="3"/>
        <v>0</v>
      </c>
      <c r="K14" s="29">
        <f t="shared" si="4"/>
        <v>0</v>
      </c>
      <c r="L14" s="30">
        <f t="shared" si="5"/>
        <v>0</v>
      </c>
      <c r="M14" s="26">
        <f t="shared" si="6"/>
        <v>1</v>
      </c>
      <c r="N14" s="31">
        <f t="shared" si="8"/>
        <v>905.58600000000001</v>
      </c>
      <c r="O14" s="26">
        <f t="shared" si="9"/>
        <v>0</v>
      </c>
      <c r="AH14" s="71"/>
      <c r="AI14" s="72"/>
      <c r="AJ14" s="72"/>
      <c r="AK14" s="72"/>
      <c r="AL14" s="68" t="s">
        <v>44</v>
      </c>
      <c r="AM14" s="73"/>
      <c r="AN14" s="115">
        <f>((AJ12*100)-(AN13))/(100-AN13)</f>
        <v>0.90541082164328657</v>
      </c>
      <c r="AO14" s="74"/>
      <c r="AP14" s="75"/>
      <c r="AQ14" s="36">
        <f t="shared" si="10"/>
        <v>0</v>
      </c>
      <c r="AR14" s="54">
        <v>658</v>
      </c>
      <c r="AS14" s="55">
        <v>83.51</v>
      </c>
      <c r="AT14" s="76"/>
      <c r="AX14" s="54">
        <f t="shared" si="11"/>
        <v>0</v>
      </c>
      <c r="AY14" s="56">
        <f t="shared" si="13"/>
        <v>0.74029999999999996</v>
      </c>
      <c r="AZ14" s="57">
        <v>59.57</v>
      </c>
      <c r="BC14" s="65">
        <v>3.9999999999999897E-2</v>
      </c>
      <c r="BD14" s="59">
        <f>IF($AN$10&gt;0.37,171.5*$AN$10-26.9,113.8*$AN$10-4.61)</f>
        <v>15922.6</v>
      </c>
      <c r="BF14" s="60"/>
      <c r="BG14" s="1"/>
      <c r="BH14" s="1"/>
      <c r="BI14" s="1"/>
      <c r="BJ14" s="77"/>
    </row>
    <row r="15" spans="1:62" s="41" customFormat="1" ht="13.5" thickBot="1">
      <c r="C15" s="25">
        <f>C9</f>
        <v>899</v>
      </c>
      <c r="D15" s="26">
        <f>D9</f>
        <v>25</v>
      </c>
      <c r="E15" s="26">
        <f t="shared" si="0"/>
        <v>10</v>
      </c>
      <c r="F15" s="27">
        <f t="shared" si="1"/>
        <v>0.99976799999999999</v>
      </c>
      <c r="G15" s="42">
        <f t="shared" si="12"/>
        <v>0</v>
      </c>
      <c r="H15" s="28">
        <f t="shared" si="7"/>
        <v>0</v>
      </c>
      <c r="I15" s="29">
        <f t="shared" si="2"/>
        <v>0</v>
      </c>
      <c r="J15" s="29">
        <f t="shared" si="3"/>
        <v>0</v>
      </c>
      <c r="K15" s="29">
        <f t="shared" si="4"/>
        <v>0</v>
      </c>
      <c r="L15" s="30">
        <f t="shared" si="5"/>
        <v>0</v>
      </c>
      <c r="M15" s="26">
        <f t="shared" si="6"/>
        <v>1</v>
      </c>
      <c r="N15" s="31">
        <f t="shared" si="8"/>
        <v>905.58600000000001</v>
      </c>
      <c r="O15" s="26">
        <f t="shared" si="9"/>
        <v>0</v>
      </c>
      <c r="AH15" s="15"/>
      <c r="AI15" s="107" t="s">
        <v>45</v>
      </c>
      <c r="AJ15" s="108"/>
      <c r="AK15" s="72"/>
      <c r="AL15" s="68" t="s">
        <v>46</v>
      </c>
      <c r="AM15" s="73"/>
      <c r="AN15" s="78">
        <f>(141.5/AN14)-131.5</f>
        <v>24.782647189021702</v>
      </c>
      <c r="AO15" s="74"/>
      <c r="AP15" s="79"/>
      <c r="AQ15" s="36">
        <f t="shared" si="10"/>
        <v>0</v>
      </c>
      <c r="AR15" s="54">
        <v>659</v>
      </c>
      <c r="AS15" s="55">
        <v>83.18</v>
      </c>
      <c r="AT15" s="76"/>
      <c r="AX15" s="54">
        <f t="shared" si="11"/>
        <v>0</v>
      </c>
      <c r="AY15" s="56">
        <f t="shared" si="13"/>
        <v>0.74039999999999995</v>
      </c>
      <c r="AZ15" s="57">
        <v>59.55</v>
      </c>
      <c r="BC15" s="65">
        <v>4.9999999999999899E-2</v>
      </c>
      <c r="BD15" s="59">
        <f>IF($AN$10&gt;0.38,171.5*$AN$10-28.5,113.8*$AN$10-5.75)</f>
        <v>15921</v>
      </c>
      <c r="BF15" s="60"/>
      <c r="BG15" s="1">
        <f>0.15/2</f>
        <v>7.4999999999999997E-2</v>
      </c>
      <c r="BH15" s="1"/>
      <c r="BI15" s="1"/>
    </row>
    <row r="16" spans="1:62" s="41" customFormat="1" ht="13.5" thickBot="1">
      <c r="C16" s="25">
        <f>C9</f>
        <v>899</v>
      </c>
      <c r="D16" s="26">
        <f>D9</f>
        <v>25</v>
      </c>
      <c r="E16" s="26">
        <f t="shared" si="0"/>
        <v>10</v>
      </c>
      <c r="F16" s="27">
        <f t="shared" si="1"/>
        <v>0.99976799999999999</v>
      </c>
      <c r="G16" s="42">
        <f t="shared" si="12"/>
        <v>0</v>
      </c>
      <c r="H16" s="28">
        <f t="shared" si="7"/>
        <v>0</v>
      </c>
      <c r="I16" s="29">
        <f t="shared" si="2"/>
        <v>0</v>
      </c>
      <c r="J16" s="29">
        <f t="shared" si="3"/>
        <v>0</v>
      </c>
      <c r="K16" s="29">
        <f t="shared" si="4"/>
        <v>0</v>
      </c>
      <c r="L16" s="30">
        <f t="shared" si="5"/>
        <v>0</v>
      </c>
      <c r="M16" s="26">
        <f t="shared" si="6"/>
        <v>1</v>
      </c>
      <c r="N16" s="31">
        <f t="shared" si="8"/>
        <v>905.58600000000001</v>
      </c>
      <c r="O16" s="26">
        <f t="shared" si="9"/>
        <v>0</v>
      </c>
      <c r="AH16" s="15"/>
      <c r="AI16" s="80" t="s">
        <v>47</v>
      </c>
      <c r="AJ16" s="81">
        <f>(AJ20-AJ19)/AJ18*100*AJ17/2</f>
        <v>3.1483735741061662E-2</v>
      </c>
      <c r="AK16" s="72"/>
      <c r="AL16" s="17"/>
      <c r="AM16" s="17"/>
      <c r="AN16" s="72"/>
      <c r="AO16" s="74"/>
      <c r="AP16" s="41" t="s">
        <v>48</v>
      </c>
      <c r="AQ16" s="36">
        <f t="shared" si="10"/>
        <v>0</v>
      </c>
      <c r="AR16" s="54">
        <v>660</v>
      </c>
      <c r="AS16" s="55">
        <v>82.86</v>
      </c>
      <c r="AT16" s="76"/>
      <c r="AX16" s="54">
        <f t="shared" si="11"/>
        <v>0</v>
      </c>
      <c r="AY16" s="56">
        <f t="shared" si="13"/>
        <v>0.74049999999999994</v>
      </c>
      <c r="AZ16" s="57">
        <v>59.52</v>
      </c>
      <c r="BC16" s="65">
        <v>5.9999999999999901E-2</v>
      </c>
      <c r="BD16" s="59">
        <f>IF($AN$10&gt;0.39,171.5*$AN$10-30.1,113.8*$AN$10-6.88)</f>
        <v>15919.4</v>
      </c>
      <c r="BF16" s="60"/>
      <c r="BG16" s="1">
        <f>0.25/2</f>
        <v>0.125</v>
      </c>
      <c r="BH16" s="1"/>
      <c r="BI16" s="1"/>
    </row>
    <row r="17" spans="3:61" s="41" customFormat="1" ht="13.5" thickBot="1">
      <c r="C17" s="25">
        <f>C9</f>
        <v>899</v>
      </c>
      <c r="D17" s="26">
        <f>D9</f>
        <v>25</v>
      </c>
      <c r="E17" s="26">
        <f t="shared" si="0"/>
        <v>10</v>
      </c>
      <c r="F17" s="27">
        <f t="shared" si="1"/>
        <v>0.99976799999999999</v>
      </c>
      <c r="G17" s="42">
        <f t="shared" si="12"/>
        <v>0</v>
      </c>
      <c r="H17" s="28">
        <f t="shared" si="7"/>
        <v>0</v>
      </c>
      <c r="I17" s="29">
        <f t="shared" si="2"/>
        <v>0</v>
      </c>
      <c r="J17" s="29">
        <f t="shared" si="3"/>
        <v>0</v>
      </c>
      <c r="K17" s="29">
        <f t="shared" si="4"/>
        <v>0</v>
      </c>
      <c r="L17" s="30">
        <f t="shared" si="5"/>
        <v>0</v>
      </c>
      <c r="M17" s="26">
        <f t="shared" si="6"/>
        <v>1</v>
      </c>
      <c r="N17" s="31">
        <f t="shared" si="8"/>
        <v>905.58600000000001</v>
      </c>
      <c r="O17" s="26">
        <f t="shared" si="9"/>
        <v>0</v>
      </c>
      <c r="AH17" s="15"/>
      <c r="AI17" s="80" t="s">
        <v>49</v>
      </c>
      <c r="AJ17" s="82">
        <f>AJ12</f>
        <v>0.90559999999999996</v>
      </c>
      <c r="AK17" s="72"/>
      <c r="AL17" s="83" t="s">
        <v>50</v>
      </c>
      <c r="AM17" s="83"/>
      <c r="AN17" s="83"/>
      <c r="AO17" s="74"/>
      <c r="AQ17" s="36">
        <f t="shared" si="10"/>
        <v>0</v>
      </c>
      <c r="AR17" s="54">
        <v>661</v>
      </c>
      <c r="AS17" s="55">
        <v>82.53</v>
      </c>
      <c r="AT17" s="76"/>
      <c r="AX17" s="54">
        <f t="shared" si="11"/>
        <v>0</v>
      </c>
      <c r="AY17" s="56">
        <f t="shared" si="13"/>
        <v>0.74059999999999993</v>
      </c>
      <c r="AZ17" s="57">
        <v>59.49</v>
      </c>
      <c r="BC17" s="65">
        <v>6.9999999999999896E-2</v>
      </c>
      <c r="BD17" s="59">
        <f>IF($AN$10&gt;0.4,171.5*$AN$10-31.8,113.8*$AN$10-8.01)</f>
        <v>15917.7</v>
      </c>
      <c r="BF17" s="60"/>
      <c r="BG17" s="1">
        <f>+BG16+0.05</f>
        <v>0.17499999999999999</v>
      </c>
      <c r="BH17" s="1"/>
      <c r="BI17" s="1"/>
    </row>
    <row r="18" spans="3:61" ht="18.75" thickBot="1">
      <c r="C18" s="25">
        <f>C9</f>
        <v>899</v>
      </c>
      <c r="D18" s="26">
        <f>D9</f>
        <v>25</v>
      </c>
      <c r="E18" s="26">
        <f t="shared" si="0"/>
        <v>10</v>
      </c>
      <c r="F18" s="27">
        <f t="shared" si="1"/>
        <v>0.99976799999999999</v>
      </c>
      <c r="G18" s="42">
        <f t="shared" si="12"/>
        <v>0</v>
      </c>
      <c r="H18" s="28">
        <f t="shared" si="7"/>
        <v>0</v>
      </c>
      <c r="I18" s="29">
        <f t="shared" si="2"/>
        <v>0</v>
      </c>
      <c r="J18" s="29">
        <f t="shared" si="3"/>
        <v>0</v>
      </c>
      <c r="K18" s="29">
        <f t="shared" si="4"/>
        <v>0</v>
      </c>
      <c r="L18" s="30">
        <f t="shared" si="5"/>
        <v>0</v>
      </c>
      <c r="M18" s="26">
        <f t="shared" si="6"/>
        <v>1</v>
      </c>
      <c r="N18" s="31">
        <f t="shared" si="8"/>
        <v>905.58600000000001</v>
      </c>
      <c r="O18" s="26">
        <f t="shared" si="9"/>
        <v>0</v>
      </c>
      <c r="R18" s="4" t="s">
        <v>1</v>
      </c>
      <c r="S18" s="5"/>
      <c r="T18" s="5"/>
      <c r="U18" s="5"/>
      <c r="V18" s="5"/>
      <c r="W18" s="5"/>
      <c r="X18" s="5"/>
      <c r="Y18" s="5"/>
      <c r="Z18" s="5"/>
      <c r="AA18" s="5"/>
      <c r="AB18" s="5"/>
      <c r="AH18" s="15"/>
      <c r="AI18" s="84" t="s">
        <v>51</v>
      </c>
      <c r="AJ18" s="85">
        <v>9.9236000000000004</v>
      </c>
      <c r="AK18" s="17"/>
      <c r="AL18" s="68" t="s">
        <v>52</v>
      </c>
      <c r="AM18" s="111"/>
      <c r="AN18" s="86">
        <f>AJ12*1000</f>
        <v>905.59999999999991</v>
      </c>
      <c r="AO18" s="19"/>
      <c r="AQ18" s="36">
        <f t="shared" si="10"/>
        <v>0</v>
      </c>
      <c r="AR18" s="54">
        <v>662</v>
      </c>
      <c r="AS18" s="55">
        <v>82.21</v>
      </c>
      <c r="AT18" s="87"/>
      <c r="AX18" s="54">
        <f t="shared" si="11"/>
        <v>0</v>
      </c>
      <c r="AY18" s="56">
        <f t="shared" si="13"/>
        <v>0.74069999999999991</v>
      </c>
      <c r="AZ18" s="57">
        <v>59.47</v>
      </c>
      <c r="BC18" s="65">
        <v>0.08</v>
      </c>
      <c r="BD18" s="59">
        <f>IF($AN$10&gt;0.41,171.5*$AN$10-33.4,113.8*$AN$10-9.14)</f>
        <v>15916.1</v>
      </c>
      <c r="BF18" s="60"/>
    </row>
    <row r="19" spans="3:61" ht="13.5" thickBot="1">
      <c r="C19" s="25">
        <f>C9</f>
        <v>899</v>
      </c>
      <c r="D19" s="26">
        <f>D9</f>
        <v>25</v>
      </c>
      <c r="E19" s="26">
        <f t="shared" si="0"/>
        <v>10</v>
      </c>
      <c r="F19" s="27">
        <f t="shared" si="1"/>
        <v>0.99976799999999999</v>
      </c>
      <c r="G19" s="42">
        <f t="shared" si="12"/>
        <v>0</v>
      </c>
      <c r="H19" s="28">
        <f t="shared" si="7"/>
        <v>0</v>
      </c>
      <c r="I19" s="29">
        <f t="shared" si="2"/>
        <v>0</v>
      </c>
      <c r="J19" s="29">
        <f t="shared" si="3"/>
        <v>0</v>
      </c>
      <c r="K19" s="29">
        <f t="shared" si="4"/>
        <v>0</v>
      </c>
      <c r="L19" s="30">
        <f t="shared" si="5"/>
        <v>0</v>
      </c>
      <c r="M19" s="26">
        <f t="shared" si="6"/>
        <v>1</v>
      </c>
      <c r="N19" s="31">
        <f t="shared" si="8"/>
        <v>905.58600000000001</v>
      </c>
      <c r="O19" s="26">
        <f t="shared" si="9"/>
        <v>0</v>
      </c>
      <c r="AH19" s="15"/>
      <c r="AI19" s="84" t="s">
        <v>53</v>
      </c>
      <c r="AJ19" s="85">
        <v>9.6600000000000005E-2</v>
      </c>
      <c r="AK19" s="17"/>
      <c r="AL19" s="68" t="s">
        <v>54</v>
      </c>
      <c r="AM19" s="111"/>
      <c r="AN19" s="86">
        <v>10</v>
      </c>
      <c r="AO19" s="19"/>
      <c r="AQ19" s="36">
        <f t="shared" si="10"/>
        <v>0</v>
      </c>
      <c r="AR19" s="54">
        <v>663</v>
      </c>
      <c r="AS19" s="55">
        <v>81.88</v>
      </c>
      <c r="AT19" s="87"/>
      <c r="AX19" s="54">
        <f t="shared" si="11"/>
        <v>0</v>
      </c>
      <c r="AY19" s="56">
        <f t="shared" si="13"/>
        <v>0.7407999999999999</v>
      </c>
      <c r="AZ19" s="57">
        <v>59.44</v>
      </c>
      <c r="BC19" s="65">
        <v>0.09</v>
      </c>
      <c r="BD19" s="59">
        <f>IF($AN$10&gt;0.42,171.5*$AN$10-35,113.8*$AN$10-10.28)</f>
        <v>15914.5</v>
      </c>
      <c r="BF19" s="60"/>
    </row>
    <row r="20" spans="3:61" ht="13.5" thickBot="1">
      <c r="S20" s="3"/>
      <c r="T20" s="3"/>
      <c r="U20" s="3"/>
      <c r="V20" s="3"/>
      <c r="W20" s="3"/>
      <c r="X20" s="3"/>
      <c r="Y20" s="3"/>
      <c r="Z20" s="3"/>
      <c r="AA20" s="3"/>
      <c r="AB20" s="3"/>
      <c r="AH20" s="15"/>
      <c r="AI20" s="80" t="s">
        <v>55</v>
      </c>
      <c r="AJ20" s="85">
        <v>0.10349999999999999</v>
      </c>
      <c r="AK20" s="17"/>
      <c r="AL20" s="68" t="s">
        <v>56</v>
      </c>
      <c r="AM20" s="111"/>
      <c r="AN20" s="61">
        <f>R26</f>
        <v>1.0037</v>
      </c>
      <c r="AO20" s="19"/>
      <c r="AQ20" s="36">
        <f t="shared" si="10"/>
        <v>0</v>
      </c>
      <c r="AR20" s="54">
        <v>664</v>
      </c>
      <c r="AS20" s="55">
        <v>81.56</v>
      </c>
      <c r="AT20" s="87"/>
      <c r="AX20" s="54">
        <f t="shared" si="11"/>
        <v>0</v>
      </c>
      <c r="AY20" s="56">
        <f t="shared" si="13"/>
        <v>0.74089999999999989</v>
      </c>
      <c r="AZ20" s="57">
        <v>59.42</v>
      </c>
      <c r="BC20" s="65">
        <v>0.1</v>
      </c>
      <c r="BD20" s="59">
        <f>IF($AN$10&gt;0.43,171.5*$AN$10-36.6,113.8*$AN$10-11.41)</f>
        <v>15912.9</v>
      </c>
      <c r="BF20" s="60"/>
    </row>
    <row r="21" spans="3:61" ht="15" customHeight="1" thickBot="1">
      <c r="R21" s="8" t="s">
        <v>57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H21" s="88"/>
      <c r="AI21" s="89"/>
      <c r="AJ21" s="89"/>
      <c r="AK21" s="89"/>
      <c r="AL21" s="89"/>
      <c r="AM21" s="89"/>
      <c r="AN21" s="89"/>
      <c r="AO21" s="90"/>
      <c r="AQ21" s="36">
        <f t="shared" si="10"/>
        <v>0</v>
      </c>
      <c r="AR21" s="54">
        <v>665</v>
      </c>
      <c r="AS21" s="55">
        <v>81.239999999999995</v>
      </c>
      <c r="AT21" s="87"/>
      <c r="AX21" s="54">
        <f t="shared" si="11"/>
        <v>0</v>
      </c>
      <c r="AY21" s="56">
        <f t="shared" si="13"/>
        <v>0.74099999999999988</v>
      </c>
      <c r="AZ21" s="57">
        <v>59.39</v>
      </c>
      <c r="BC21" s="65">
        <v>0.11</v>
      </c>
      <c r="BD21" s="59">
        <f>IF($AN$10&gt;0.44,171.5*$AN$10-38.3,113.8*$AN$10-12.54)</f>
        <v>15911.2</v>
      </c>
      <c r="BF21" s="60"/>
    </row>
    <row r="22" spans="3:61">
      <c r="C22" s="43" t="s">
        <v>41</v>
      </c>
      <c r="AQ22" s="36">
        <f t="shared" si="10"/>
        <v>0</v>
      </c>
      <c r="AR22" s="54">
        <v>666</v>
      </c>
      <c r="AS22" s="55">
        <v>80.92</v>
      </c>
      <c r="AT22" s="87"/>
      <c r="AX22" s="54">
        <f t="shared" si="11"/>
        <v>0</v>
      </c>
      <c r="AY22" s="56">
        <f t="shared" si="13"/>
        <v>0.74109999999999987</v>
      </c>
      <c r="AZ22" s="57">
        <v>59.37</v>
      </c>
      <c r="BC22" s="65">
        <v>0.12</v>
      </c>
      <c r="BD22" s="59">
        <f>IF($AN$10&gt;0.45,171.5*$AN$10-39.9,113.8*$AN$10-13.68)</f>
        <v>15909.6</v>
      </c>
      <c r="BF22" s="91"/>
    </row>
    <row r="23" spans="3:61" ht="13.5" thickBot="1">
      <c r="C23" s="92">
        <f>ROUND(N16/1000,4)</f>
        <v>0.90559999999999996</v>
      </c>
      <c r="R23" s="20" t="s">
        <v>22</v>
      </c>
      <c r="S23" s="20" t="s">
        <v>23</v>
      </c>
      <c r="T23" s="20" t="s">
        <v>11</v>
      </c>
      <c r="U23" s="20" t="s">
        <v>24</v>
      </c>
      <c r="V23" s="20" t="s">
        <v>25</v>
      </c>
      <c r="W23" s="20" t="s">
        <v>15</v>
      </c>
      <c r="X23" s="20" t="s">
        <v>16</v>
      </c>
      <c r="Y23" s="20" t="s">
        <v>17</v>
      </c>
      <c r="Z23" s="20" t="s">
        <v>18</v>
      </c>
      <c r="AA23" s="20" t="s">
        <v>19</v>
      </c>
      <c r="AB23" s="20" t="s">
        <v>19</v>
      </c>
      <c r="AC23" s="93" t="s">
        <v>58</v>
      </c>
      <c r="AD23" s="94"/>
      <c r="AE23" s="94"/>
      <c r="AF23" s="94"/>
      <c r="AG23" s="94"/>
      <c r="AJ23" s="9"/>
      <c r="AQ23" s="36">
        <f t="shared" si="10"/>
        <v>0</v>
      </c>
      <c r="AR23" s="54">
        <v>667</v>
      </c>
      <c r="AS23" s="55">
        <v>80.600000000000051</v>
      </c>
      <c r="AT23" s="87"/>
      <c r="AX23" s="54">
        <f t="shared" si="11"/>
        <v>0</v>
      </c>
      <c r="AY23" s="56">
        <f t="shared" si="13"/>
        <v>0.74119999999999986</v>
      </c>
      <c r="AZ23" s="57">
        <v>59.34</v>
      </c>
      <c r="BC23" s="65">
        <v>0.13</v>
      </c>
      <c r="BD23" s="59">
        <f>IF($AN$10&gt;0.46,171.5*$AN$10-41.4,113.8*$AN$10-14.79)</f>
        <v>15908.1</v>
      </c>
      <c r="BF23" s="91"/>
    </row>
    <row r="24" spans="3:61" ht="13.5" thickTop="1">
      <c r="R24" s="25">
        <f>AN18</f>
        <v>905.59999999999991</v>
      </c>
      <c r="S24" s="26">
        <f>AN19</f>
        <v>10</v>
      </c>
      <c r="T24" s="42">
        <f>AE25-15</f>
        <v>-5</v>
      </c>
      <c r="U24" s="26">
        <v>613.97230000000002</v>
      </c>
      <c r="V24" s="28">
        <f>ROUND(U24/AG24/AG24,7)</f>
        <v>7.4799999999999997E-4</v>
      </c>
      <c r="W24" s="29">
        <f>ROUND(V24*T24,8)</f>
        <v>-3.7399999999999998E-3</v>
      </c>
      <c r="X24" s="29">
        <f>ROUND(0.8*W24,8)</f>
        <v>-2.9919999999999999E-3</v>
      </c>
      <c r="Y24" s="29">
        <f>ROUND(W24*X24,8)</f>
        <v>1.119E-5</v>
      </c>
      <c r="Z24" s="30">
        <f>ROUND(-W24-Y24,7)</f>
        <v>3.7288E-3</v>
      </c>
      <c r="AA24" s="26">
        <f>TRUNC(EXP(Z24),6)</f>
        <v>1.003735</v>
      </c>
      <c r="AB24" s="25">
        <f>ROUND(AA24,4)</f>
        <v>1.0037</v>
      </c>
      <c r="AC24" s="95">
        <f>INT(R24)</f>
        <v>905</v>
      </c>
      <c r="AD24" s="96">
        <f>TRUNC(AC24/100-INT(AC24/100),1)</f>
        <v>0</v>
      </c>
      <c r="AE24" s="96">
        <f>ROUND(AC24/10-INT(AC24/10),1)</f>
        <v>0.5</v>
      </c>
      <c r="AF24" s="97">
        <f>ROUND(R24-AC24,1)</f>
        <v>0.6</v>
      </c>
      <c r="AG24" s="98">
        <f>IF(AND(AF24&gt;0,OR(AE24=0.1,AE24=0.3,AE24=0.5,AE24=0.7,AE24=0.9)),(AC24+1),IF(AND(AF24&gt;=0,OR(AE24=0,AE24=0.2,AE24=0.4,AE24=0.6,AE24=0.8)),AC24,IF(AND(AF24=0,OR(AE24=0.1,AE24=0.3,AE24=0.5,AE24=0.7,AE24=0.9),OR(AD24=0,AD24=0.2,AD24=0.4,AD24=0.6,AD24=0.8)),(AC24-1),IF(AND(AF24=0,OR(AE24=0.1,AE24=0.3,AE24=0.5,AE24=0.7,AE24=0.9),OR(AD24=0.1,AD24=0.3,AD24=0.5,AD24=0.7,AD24=0.9)),(AC24+1)))))</f>
        <v>906</v>
      </c>
      <c r="AQ24" s="36">
        <f t="shared" si="10"/>
        <v>0</v>
      </c>
      <c r="AR24" s="54">
        <v>668</v>
      </c>
      <c r="AS24" s="55">
        <v>80.290000000000006</v>
      </c>
      <c r="AT24" s="87"/>
      <c r="AX24" s="54">
        <f t="shared" si="11"/>
        <v>0</v>
      </c>
      <c r="AY24" s="56">
        <f t="shared" si="13"/>
        <v>0.74129999999999985</v>
      </c>
      <c r="AZ24" s="57">
        <v>59.32</v>
      </c>
      <c r="BC24" s="65">
        <v>0.14000000000000001</v>
      </c>
      <c r="BD24" s="59">
        <f>IF($AN$10&gt;0.47,171.5*$AN$10-43.4,113.8*$AN$10-15.97)</f>
        <v>15906.1</v>
      </c>
      <c r="BF24" s="91"/>
    </row>
    <row r="25" spans="3:61" ht="13.5" thickBot="1">
      <c r="R25" s="43" t="s">
        <v>36</v>
      </c>
      <c r="AC25" s="99">
        <f>INT(S24)</f>
        <v>10</v>
      </c>
      <c r="AD25" s="100">
        <f>ROUND(S24-AC25,1)</f>
        <v>0</v>
      </c>
      <c r="AE25" s="101">
        <f>IF(OR(AD25=0,AD25=0.25,AD25=0.5,AD25=0.75),S24,IF(AND(AD25&gt;0,AD25&lt;=0.1),AC25,IF(AND(AD25&gt;0.1,AD25&lt;=0.3),AC25+0.25,IF(AND(AD25&gt;0.3,AD25&lt;=0.6),AC25+0.5,IF(AND(AD25&gt;0.6,AD25&lt;=0.8),AC25+0.75,IF(AD25&gt;0.8,AC25+1))))))</f>
        <v>10</v>
      </c>
      <c r="AF25" s="102"/>
      <c r="AG25" s="103"/>
      <c r="AQ25" s="36">
        <f t="shared" si="10"/>
        <v>0</v>
      </c>
      <c r="AR25" s="54">
        <v>669</v>
      </c>
      <c r="AS25" s="55">
        <v>79.970000000000056</v>
      </c>
      <c r="AT25" s="87"/>
      <c r="AX25" s="54">
        <f t="shared" si="11"/>
        <v>0</v>
      </c>
      <c r="AY25" s="56">
        <f t="shared" si="13"/>
        <v>0.74139999999999984</v>
      </c>
      <c r="AZ25" s="57">
        <v>59.29</v>
      </c>
      <c r="BC25" s="65">
        <v>0.15</v>
      </c>
      <c r="BD25" s="59">
        <f>IF($AN$10&gt;0.48,171.5*$AN$10-44.7,113.8*$AN$10-17.07)</f>
        <v>15904.8</v>
      </c>
      <c r="BF25" s="91"/>
    </row>
    <row r="26" spans="3:61" ht="13.5" thickTop="1">
      <c r="R26" s="53">
        <f>AB24</f>
        <v>1.0037</v>
      </c>
      <c r="AQ26" s="36">
        <f t="shared" si="10"/>
        <v>0</v>
      </c>
      <c r="AR26" s="54">
        <v>670</v>
      </c>
      <c r="AS26" s="55">
        <v>79.650000000000063</v>
      </c>
      <c r="AT26" s="87"/>
      <c r="AX26" s="54">
        <f t="shared" si="11"/>
        <v>0</v>
      </c>
      <c r="AY26" s="56">
        <f t="shared" si="13"/>
        <v>0.74149999999999983</v>
      </c>
      <c r="AZ26" s="57">
        <v>59.27</v>
      </c>
      <c r="BC26" s="65">
        <v>0.16</v>
      </c>
      <c r="BD26" s="59">
        <f>IF($AN$10&gt;0.49,171.5*$AN$10-46.4,113.8*$AN$10-18.2)</f>
        <v>15903.1</v>
      </c>
      <c r="BF26" s="91"/>
    </row>
    <row r="27" spans="3:61">
      <c r="AQ27" s="36">
        <f t="shared" si="10"/>
        <v>0</v>
      </c>
      <c r="AR27" s="54">
        <v>671</v>
      </c>
      <c r="AS27" s="55">
        <v>79.34000000000006</v>
      </c>
      <c r="AT27" s="87"/>
      <c r="AX27" s="54">
        <f t="shared" si="11"/>
        <v>0</v>
      </c>
      <c r="AY27" s="56">
        <f t="shared" si="13"/>
        <v>0.74159999999999981</v>
      </c>
      <c r="AZ27" s="57">
        <v>59.24</v>
      </c>
      <c r="BC27" s="65">
        <v>0.17</v>
      </c>
      <c r="BD27" s="59">
        <f>IF($AN$10&gt;0.5,171.5*$AN$10-48.1,113.8*$AN$10-19.4)</f>
        <v>15901.4</v>
      </c>
      <c r="BF27" s="91"/>
    </row>
    <row r="28" spans="3:61">
      <c r="AQ28" s="36">
        <f t="shared" si="10"/>
        <v>0</v>
      </c>
      <c r="AR28" s="54">
        <v>672</v>
      </c>
      <c r="AS28" s="55">
        <v>79.020000000000067</v>
      </c>
      <c r="AT28" s="87"/>
      <c r="AX28" s="54">
        <f t="shared" si="11"/>
        <v>0</v>
      </c>
      <c r="AY28" s="56">
        <f t="shared" si="13"/>
        <v>0.7416999999999998</v>
      </c>
      <c r="AZ28" s="57">
        <v>59.22</v>
      </c>
      <c r="BC28" s="65">
        <v>0.18</v>
      </c>
      <c r="BD28" s="59">
        <f>IF($AN$10&gt;0.51,171.5*$AN$10-49.7,113.8*$AN$10-20.4)</f>
        <v>15899.8</v>
      </c>
      <c r="BF28" s="91"/>
    </row>
    <row r="29" spans="3:61" ht="20.25">
      <c r="C29" s="2" t="s">
        <v>0</v>
      </c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AQ29" s="36">
        <f t="shared" si="10"/>
        <v>0</v>
      </c>
      <c r="AR29" s="54">
        <v>673</v>
      </c>
      <c r="AS29" s="55">
        <v>78.710000000000065</v>
      </c>
      <c r="AT29" s="87"/>
      <c r="AX29" s="54">
        <f t="shared" si="11"/>
        <v>0</v>
      </c>
      <c r="AY29" s="56">
        <f t="shared" si="13"/>
        <v>0.74179999999999979</v>
      </c>
      <c r="AZ29" s="57">
        <v>59.19</v>
      </c>
      <c r="BC29" s="65">
        <v>0.19</v>
      </c>
      <c r="BD29" s="59">
        <f>IF($AN$10&gt;0.52,171.5*$AN$10-51.7,113.8*$AN$10-21.6)</f>
        <v>15897.8</v>
      </c>
      <c r="BF29" s="91"/>
    </row>
    <row r="30" spans="3:61">
      <c r="AQ30" s="36">
        <f t="shared" si="10"/>
        <v>0</v>
      </c>
      <c r="AR30" s="54">
        <v>674</v>
      </c>
      <c r="AS30" s="55">
        <v>78.400000000000063</v>
      </c>
      <c r="AT30" s="87"/>
      <c r="AX30" s="54">
        <f t="shared" si="11"/>
        <v>0</v>
      </c>
      <c r="AY30" s="56">
        <f t="shared" si="13"/>
        <v>0.74189999999999978</v>
      </c>
      <c r="AZ30" s="57">
        <v>59.17</v>
      </c>
      <c r="BC30" s="65">
        <v>0.2</v>
      </c>
      <c r="BD30" s="59">
        <f>IF($AN$10&gt;0.53,171.5*$AN$10-53.4,113.8*$AN$10-22.7)</f>
        <v>15896.1</v>
      </c>
      <c r="BF30" s="91"/>
    </row>
    <row r="31" spans="3:61">
      <c r="C31" s="8" t="s">
        <v>59</v>
      </c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AQ31" s="36">
        <f t="shared" si="10"/>
        <v>0</v>
      </c>
      <c r="AR31" s="54">
        <v>675</v>
      </c>
      <c r="AS31" s="55">
        <v>78.09000000000006</v>
      </c>
      <c r="AT31" s="87"/>
      <c r="AX31" s="54">
        <f t="shared" si="11"/>
        <v>0</v>
      </c>
      <c r="AY31" s="56">
        <f t="shared" si="13"/>
        <v>0.74199999999999977</v>
      </c>
      <c r="AZ31" s="57">
        <v>59.14</v>
      </c>
      <c r="BC31" s="65">
        <v>0.21</v>
      </c>
      <c r="BD31" s="59">
        <f>IF($AN$10&gt;0.54,171.5*$AN$10-55.1,113.8*$AN$10-23.9)</f>
        <v>15894.4</v>
      </c>
      <c r="BF31" s="91"/>
    </row>
    <row r="32" spans="3:61">
      <c r="AQ32" s="36">
        <f t="shared" si="10"/>
        <v>0</v>
      </c>
      <c r="AR32" s="54">
        <v>676</v>
      </c>
      <c r="AS32" s="55">
        <v>77.780000000000058</v>
      </c>
      <c r="AT32" s="87"/>
      <c r="AX32" s="54">
        <f t="shared" si="11"/>
        <v>0</v>
      </c>
      <c r="AY32" s="56">
        <f t="shared" si="13"/>
        <v>0.74209999999999976</v>
      </c>
      <c r="AZ32" s="57">
        <v>59.11</v>
      </c>
      <c r="BC32" s="65">
        <v>0.22</v>
      </c>
      <c r="BD32" s="59">
        <f>IF($AN$10&gt;0.55,171.5*$AN$10-56.8,113.8*$AN$10-25)</f>
        <v>15892.7</v>
      </c>
      <c r="BF32" s="91"/>
    </row>
    <row r="33" spans="3:58">
      <c r="C33" s="20" t="s">
        <v>9</v>
      </c>
      <c r="D33" s="20" t="s">
        <v>10</v>
      </c>
      <c r="E33" s="20" t="s">
        <v>11</v>
      </c>
      <c r="F33" s="20" t="s">
        <v>12</v>
      </c>
      <c r="G33" s="21" t="s">
        <v>13</v>
      </c>
      <c r="H33" s="20" t="s">
        <v>14</v>
      </c>
      <c r="I33" s="20" t="s">
        <v>15</v>
      </c>
      <c r="J33" s="20" t="s">
        <v>16</v>
      </c>
      <c r="K33" s="20" t="s">
        <v>17</v>
      </c>
      <c r="L33" s="20" t="s">
        <v>18</v>
      </c>
      <c r="M33" s="20" t="s">
        <v>19</v>
      </c>
      <c r="N33" s="21" t="s">
        <v>20</v>
      </c>
      <c r="O33" s="20" t="s">
        <v>21</v>
      </c>
      <c r="AQ33" s="36">
        <f t="shared" si="10"/>
        <v>0</v>
      </c>
      <c r="AR33" s="54">
        <v>677</v>
      </c>
      <c r="AS33" s="55">
        <v>77.470000000000056</v>
      </c>
      <c r="AT33" s="87"/>
      <c r="AX33" s="54">
        <f t="shared" si="11"/>
        <v>0</v>
      </c>
      <c r="AY33" s="56">
        <f t="shared" si="13"/>
        <v>0.74219999999999975</v>
      </c>
      <c r="AZ33" s="57">
        <v>59.09</v>
      </c>
      <c r="BC33" s="65">
        <v>0.23</v>
      </c>
      <c r="BD33" s="59">
        <f>IF($AN$10&gt;0.56,171.5*$AN$10-58.5,113.8*$AN$10-26.1)</f>
        <v>15891</v>
      </c>
      <c r="BF33" s="91"/>
    </row>
    <row r="34" spans="3:58">
      <c r="C34" s="25">
        <v>1004</v>
      </c>
      <c r="D34" s="26">
        <v>137</v>
      </c>
      <c r="E34" s="26">
        <f t="shared" ref="E34:E44" si="14">D34-15</f>
        <v>122</v>
      </c>
      <c r="F34" s="27">
        <f t="shared" ref="F34:F44" si="15">ROUND(1-ROUND(0.000023*E34,9)-ROUND(0.00000002*E34*E34,9),9)</f>
        <v>0.99689631999999995</v>
      </c>
      <c r="G34" s="26">
        <f>ROUND(C34*F34,2)</f>
        <v>1000.88</v>
      </c>
      <c r="H34" s="28">
        <f>ROUND(TRUNC(TRUNC(613.9723/G34,10)/G34,10),7)</f>
        <v>6.1289999999999999E-4</v>
      </c>
      <c r="I34" s="29">
        <f t="shared" ref="I34:I44" si="16">TRUNC(H34*E34,9)</f>
        <v>7.4773800000000001E-2</v>
      </c>
      <c r="J34" s="29">
        <f t="shared" ref="J34:J44" si="17">TRUNC(0.8*I34,9)</f>
        <v>5.9819039999999997E-2</v>
      </c>
      <c r="K34" s="29">
        <f t="shared" ref="K34:K44" si="18">ROUND(I34*J34,9)</f>
        <v>4.472897E-3</v>
      </c>
      <c r="L34" s="30">
        <f t="shared" ref="L34:L44" si="19">TRUNC(-I34-K34,7)</f>
        <v>-7.92466E-2</v>
      </c>
      <c r="M34" s="26">
        <f t="shared" ref="M34:M44" si="20">ROUND(EXP(L34),6)</f>
        <v>0.92381199999999997</v>
      </c>
      <c r="N34" s="31">
        <f>ROUND($G$9/M34,3)</f>
        <v>972.91399999999999</v>
      </c>
      <c r="O34" s="32"/>
      <c r="AQ34" s="36">
        <f t="shared" si="10"/>
        <v>0</v>
      </c>
      <c r="AR34" s="54">
        <v>678</v>
      </c>
      <c r="AS34" s="55">
        <v>77.160000000000053</v>
      </c>
      <c r="AT34" s="87"/>
      <c r="AX34" s="54">
        <f t="shared" si="11"/>
        <v>0</v>
      </c>
      <c r="AY34" s="56">
        <f t="shared" si="13"/>
        <v>0.74229999999999974</v>
      </c>
      <c r="AZ34" s="57">
        <v>59.06</v>
      </c>
      <c r="BC34" s="65">
        <v>0.24</v>
      </c>
      <c r="BD34" s="59">
        <f>IF($AN$10&gt;0.57,171.5*$AN$10-60.2,113.8*$AN$10-27.3)</f>
        <v>15889.3</v>
      </c>
      <c r="BF34" s="91"/>
    </row>
    <row r="35" spans="3:58">
      <c r="C35" s="25">
        <f>C34</f>
        <v>1004</v>
      </c>
      <c r="D35" s="26">
        <f>D34</f>
        <v>137</v>
      </c>
      <c r="E35" s="26">
        <f t="shared" si="14"/>
        <v>122</v>
      </c>
      <c r="F35" s="27">
        <f t="shared" si="15"/>
        <v>0.99689631999999995</v>
      </c>
      <c r="G35" s="42">
        <f>N34</f>
        <v>972.91399999999999</v>
      </c>
      <c r="H35" s="28">
        <f t="shared" ref="H35:H44" si="21">IF(G35=0,0,ROUND(TRUNC(TRUNC(613.9723/G35,10)/G35,10),7))</f>
        <v>6.4860000000000004E-4</v>
      </c>
      <c r="I35" s="29">
        <f t="shared" si="16"/>
        <v>7.9129199999999997E-2</v>
      </c>
      <c r="J35" s="29">
        <f t="shared" si="17"/>
        <v>6.3303360000000003E-2</v>
      </c>
      <c r="K35" s="29">
        <f t="shared" si="18"/>
        <v>5.0091440000000001E-3</v>
      </c>
      <c r="L35" s="30">
        <f t="shared" si="19"/>
        <v>-8.4138299999999999E-2</v>
      </c>
      <c r="M35" s="26">
        <f t="shared" si="20"/>
        <v>0.91930400000000001</v>
      </c>
      <c r="N35" s="31">
        <f t="shared" ref="N35:N44" si="22">IF(M35=1,N34,ROUND($G$9/M35,3))</f>
        <v>977.68499999999995</v>
      </c>
      <c r="O35" s="26">
        <f t="shared" ref="O35:O44" si="23">ABS(N34-N35)</f>
        <v>4.7709999999999582</v>
      </c>
      <c r="AQ35" s="36">
        <f t="shared" si="10"/>
        <v>0</v>
      </c>
      <c r="AR35" s="54">
        <v>679</v>
      </c>
      <c r="AS35" s="55">
        <v>76.850000000000051</v>
      </c>
      <c r="AT35" s="87"/>
      <c r="AX35" s="54">
        <f t="shared" si="11"/>
        <v>0</v>
      </c>
      <c r="AY35" s="56">
        <f t="shared" si="13"/>
        <v>0.74239999999999973</v>
      </c>
      <c r="AZ35" s="57">
        <v>59.04</v>
      </c>
      <c r="BC35" s="65">
        <v>0.25</v>
      </c>
      <c r="BD35" s="59">
        <f>IF($AN$10&gt;0.58,171.5*$AN$10-61.9,113.8*$AN$10-28.4)</f>
        <v>15887.6</v>
      </c>
      <c r="BF35" s="91"/>
    </row>
    <row r="36" spans="3:58">
      <c r="C36" s="25">
        <f>C34</f>
        <v>1004</v>
      </c>
      <c r="D36" s="26">
        <f>D34</f>
        <v>137</v>
      </c>
      <c r="E36" s="26">
        <f t="shared" si="14"/>
        <v>122</v>
      </c>
      <c r="F36" s="27">
        <f t="shared" si="15"/>
        <v>0.99689631999999995</v>
      </c>
      <c r="G36" s="42">
        <f t="shared" ref="G36:G44" si="24">IF(O35&gt;0.05,N35,0)</f>
        <v>977.68499999999995</v>
      </c>
      <c r="H36" s="28">
        <f t="shared" si="21"/>
        <v>6.4230000000000005E-4</v>
      </c>
      <c r="I36" s="29">
        <f t="shared" si="16"/>
        <v>7.8360600000000002E-2</v>
      </c>
      <c r="J36" s="29">
        <f t="shared" si="17"/>
        <v>6.2688480000000005E-2</v>
      </c>
      <c r="K36" s="29">
        <f t="shared" si="18"/>
        <v>4.9123070000000003E-3</v>
      </c>
      <c r="L36" s="30">
        <f t="shared" si="19"/>
        <v>-8.3272899999999997E-2</v>
      </c>
      <c r="M36" s="26">
        <f t="shared" si="20"/>
        <v>0.92010000000000003</v>
      </c>
      <c r="N36" s="31">
        <f t="shared" si="22"/>
        <v>976.83900000000006</v>
      </c>
      <c r="O36" s="26">
        <f t="shared" si="23"/>
        <v>0.84599999999988995</v>
      </c>
      <c r="AQ36" s="36">
        <f t="shared" si="10"/>
        <v>0</v>
      </c>
      <c r="AR36" s="54">
        <v>680</v>
      </c>
      <c r="AS36" s="55">
        <v>76.540000000000006</v>
      </c>
      <c r="AT36" s="87"/>
      <c r="AX36" s="54">
        <f t="shared" si="11"/>
        <v>0</v>
      </c>
      <c r="AY36" s="56">
        <f t="shared" si="13"/>
        <v>0.74249999999999972</v>
      </c>
      <c r="AZ36" s="57">
        <v>59.01</v>
      </c>
      <c r="BC36" s="65">
        <v>0.26</v>
      </c>
      <c r="BD36" s="59">
        <f>IF($AN$10&gt;0.59,171.5*$AN$10-63.7,113.8*$AN$10-29.5)</f>
        <v>15885.8</v>
      </c>
      <c r="BF36" s="91"/>
    </row>
    <row r="37" spans="3:58">
      <c r="C37" s="25">
        <f>C34</f>
        <v>1004</v>
      </c>
      <c r="D37" s="26">
        <f>D34</f>
        <v>137</v>
      </c>
      <c r="E37" s="26">
        <f t="shared" si="14"/>
        <v>122</v>
      </c>
      <c r="F37" s="27">
        <f t="shared" si="15"/>
        <v>0.99689631999999995</v>
      </c>
      <c r="G37" s="42">
        <f t="shared" si="24"/>
        <v>976.83900000000006</v>
      </c>
      <c r="H37" s="28">
        <f t="shared" si="21"/>
        <v>6.4340000000000003E-4</v>
      </c>
      <c r="I37" s="29">
        <f t="shared" si="16"/>
        <v>7.8494800000000003E-2</v>
      </c>
      <c r="J37" s="29">
        <f t="shared" si="17"/>
        <v>6.2795840000000006E-2</v>
      </c>
      <c r="K37" s="29">
        <f t="shared" si="18"/>
        <v>4.929147E-3</v>
      </c>
      <c r="L37" s="30">
        <f t="shared" si="19"/>
        <v>-8.3423899999999995E-2</v>
      </c>
      <c r="M37" s="26">
        <f t="shared" si="20"/>
        <v>0.91996100000000003</v>
      </c>
      <c r="N37" s="31">
        <f t="shared" si="22"/>
        <v>976.98699999999997</v>
      </c>
      <c r="O37" s="26">
        <f t="shared" si="23"/>
        <v>0.14799999999991087</v>
      </c>
      <c r="AQ37" s="36">
        <f t="shared" si="10"/>
        <v>0</v>
      </c>
      <c r="AR37" s="54">
        <v>681</v>
      </c>
      <c r="AS37" s="55">
        <v>76.240000000000052</v>
      </c>
      <c r="AT37" s="87"/>
      <c r="AX37" s="54">
        <f t="shared" si="11"/>
        <v>0</v>
      </c>
      <c r="AY37" s="56">
        <f t="shared" si="13"/>
        <v>0.7425999999999997</v>
      </c>
      <c r="AZ37" s="57">
        <v>58.98</v>
      </c>
      <c r="BC37" s="65">
        <v>0.27</v>
      </c>
      <c r="BD37" s="59">
        <f>IF($AN$10&gt;0.6,171.5*$AN$10-65.5,113.8*$AN$10-30.7)</f>
        <v>15884</v>
      </c>
      <c r="BF37" s="91"/>
    </row>
    <row r="38" spans="3:58">
      <c r="C38" s="25">
        <f>C34</f>
        <v>1004</v>
      </c>
      <c r="D38" s="26">
        <f>D34</f>
        <v>137</v>
      </c>
      <c r="E38" s="26">
        <f t="shared" si="14"/>
        <v>122</v>
      </c>
      <c r="F38" s="27">
        <f t="shared" si="15"/>
        <v>0.99689631999999995</v>
      </c>
      <c r="G38" s="42">
        <f t="shared" si="24"/>
        <v>976.98699999999997</v>
      </c>
      <c r="H38" s="28">
        <f t="shared" si="21"/>
        <v>6.4320000000000002E-4</v>
      </c>
      <c r="I38" s="29">
        <f t="shared" si="16"/>
        <v>7.8470399999999996E-2</v>
      </c>
      <c r="J38" s="29">
        <f t="shared" si="17"/>
        <v>6.2776319999999997E-2</v>
      </c>
      <c r="K38" s="29">
        <f t="shared" si="18"/>
        <v>4.9260830000000004E-3</v>
      </c>
      <c r="L38" s="30">
        <f t="shared" si="19"/>
        <v>-8.3396399999999996E-2</v>
      </c>
      <c r="M38" s="26">
        <f t="shared" si="20"/>
        <v>0.91998599999999997</v>
      </c>
      <c r="N38" s="31">
        <f t="shared" si="22"/>
        <v>976.96100000000001</v>
      </c>
      <c r="O38" s="26">
        <f t="shared" si="23"/>
        <v>2.5999999999953616E-2</v>
      </c>
      <c r="AQ38" s="36">
        <f t="shared" si="10"/>
        <v>0</v>
      </c>
      <c r="AR38" s="54">
        <v>682</v>
      </c>
      <c r="AS38" s="55">
        <v>75.930000000000007</v>
      </c>
      <c r="AT38" s="87"/>
      <c r="AX38" s="54">
        <f t="shared" si="11"/>
        <v>0</v>
      </c>
      <c r="AY38" s="56">
        <f t="shared" si="13"/>
        <v>0.74269999999999969</v>
      </c>
      <c r="AZ38" s="57">
        <v>58.96</v>
      </c>
      <c r="BC38" s="65">
        <v>0.28000000000000003</v>
      </c>
      <c r="BD38" s="59">
        <f>IF($AN$10&gt;0.61,171.5*$AN$10-67.3,113.8*$AN$10-31.8)</f>
        <v>15882.2</v>
      </c>
      <c r="BF38" s="41"/>
    </row>
    <row r="39" spans="3:58">
      <c r="C39" s="25">
        <f>C34</f>
        <v>1004</v>
      </c>
      <c r="D39" s="26">
        <f>D34</f>
        <v>137</v>
      </c>
      <c r="E39" s="26">
        <f t="shared" si="14"/>
        <v>122</v>
      </c>
      <c r="F39" s="27">
        <f t="shared" si="15"/>
        <v>0.99689631999999995</v>
      </c>
      <c r="G39" s="42">
        <f t="shared" si="24"/>
        <v>0</v>
      </c>
      <c r="H39" s="28">
        <f t="shared" si="21"/>
        <v>0</v>
      </c>
      <c r="I39" s="29">
        <f t="shared" si="16"/>
        <v>0</v>
      </c>
      <c r="J39" s="29">
        <f t="shared" si="17"/>
        <v>0</v>
      </c>
      <c r="K39" s="29">
        <f t="shared" si="18"/>
        <v>0</v>
      </c>
      <c r="L39" s="30">
        <f t="shared" si="19"/>
        <v>0</v>
      </c>
      <c r="M39" s="26">
        <f t="shared" si="20"/>
        <v>1</v>
      </c>
      <c r="N39" s="31">
        <f t="shared" si="22"/>
        <v>976.96100000000001</v>
      </c>
      <c r="O39" s="26">
        <f t="shared" si="23"/>
        <v>0</v>
      </c>
      <c r="AQ39" s="36">
        <f t="shared" si="10"/>
        <v>0</v>
      </c>
      <c r="AR39" s="54">
        <v>683</v>
      </c>
      <c r="AS39" s="55">
        <v>75.630000000000052</v>
      </c>
      <c r="AT39" s="87"/>
      <c r="AX39" s="54">
        <f t="shared" si="11"/>
        <v>0</v>
      </c>
      <c r="AY39" s="56">
        <f t="shared" si="13"/>
        <v>0.74279999999999968</v>
      </c>
      <c r="AZ39" s="57">
        <v>58.93</v>
      </c>
      <c r="BC39" s="65">
        <v>0.28999999999999998</v>
      </c>
      <c r="BD39" s="59">
        <f>IF($AN$10&gt;0.62,171.5*$AN$10-69.1,113.8*$AN$10-32.9)</f>
        <v>15880.4</v>
      </c>
    </row>
    <row r="40" spans="3:58">
      <c r="C40" s="25">
        <f>C34</f>
        <v>1004</v>
      </c>
      <c r="D40" s="26">
        <f>D34</f>
        <v>137</v>
      </c>
      <c r="E40" s="26">
        <f t="shared" si="14"/>
        <v>122</v>
      </c>
      <c r="F40" s="27">
        <f t="shared" si="15"/>
        <v>0.99689631999999995</v>
      </c>
      <c r="G40" s="42">
        <f t="shared" si="24"/>
        <v>0</v>
      </c>
      <c r="H40" s="28">
        <f t="shared" si="21"/>
        <v>0</v>
      </c>
      <c r="I40" s="29">
        <f t="shared" si="16"/>
        <v>0</v>
      </c>
      <c r="J40" s="29">
        <f t="shared" si="17"/>
        <v>0</v>
      </c>
      <c r="K40" s="29">
        <f t="shared" si="18"/>
        <v>0</v>
      </c>
      <c r="L40" s="30">
        <f t="shared" si="19"/>
        <v>0</v>
      </c>
      <c r="M40" s="26">
        <f t="shared" si="20"/>
        <v>1</v>
      </c>
      <c r="N40" s="31">
        <f t="shared" si="22"/>
        <v>976.96100000000001</v>
      </c>
      <c r="O40" s="26">
        <f t="shared" si="23"/>
        <v>0</v>
      </c>
      <c r="AQ40" s="36">
        <f t="shared" si="10"/>
        <v>0</v>
      </c>
      <c r="AR40" s="54">
        <v>684</v>
      </c>
      <c r="AS40" s="55">
        <v>75.330000000000055</v>
      </c>
      <c r="AT40" s="87"/>
      <c r="AX40" s="54">
        <f t="shared" si="11"/>
        <v>0</v>
      </c>
      <c r="AY40" s="56">
        <f t="shared" si="13"/>
        <v>0.74289999999999967</v>
      </c>
      <c r="AZ40" s="57">
        <v>58.91</v>
      </c>
      <c r="BC40" s="65">
        <v>0.3</v>
      </c>
      <c r="BD40" s="59">
        <f>IF($AN$10&gt;0.63,171.5*$AN$10-70.8,113.8*$AN$10-34.1)</f>
        <v>15878.7</v>
      </c>
    </row>
    <row r="41" spans="3:58">
      <c r="C41" s="25">
        <f>C34</f>
        <v>1004</v>
      </c>
      <c r="D41" s="26">
        <f>D34</f>
        <v>137</v>
      </c>
      <c r="E41" s="26">
        <f t="shared" si="14"/>
        <v>122</v>
      </c>
      <c r="F41" s="27">
        <f t="shared" si="15"/>
        <v>0.99689631999999995</v>
      </c>
      <c r="G41" s="42">
        <f t="shared" si="24"/>
        <v>0</v>
      </c>
      <c r="H41" s="28">
        <f t="shared" si="21"/>
        <v>0</v>
      </c>
      <c r="I41" s="29">
        <f t="shared" si="16"/>
        <v>0</v>
      </c>
      <c r="J41" s="29">
        <f t="shared" si="17"/>
        <v>0</v>
      </c>
      <c r="K41" s="29">
        <f t="shared" si="18"/>
        <v>0</v>
      </c>
      <c r="L41" s="30">
        <f t="shared" si="19"/>
        <v>0</v>
      </c>
      <c r="M41" s="26">
        <f t="shared" si="20"/>
        <v>1</v>
      </c>
      <c r="N41" s="31">
        <f t="shared" si="22"/>
        <v>976.96100000000001</v>
      </c>
      <c r="O41" s="26">
        <f t="shared" si="23"/>
        <v>0</v>
      </c>
      <c r="AQ41" s="36">
        <f t="shared" si="10"/>
        <v>0</v>
      </c>
      <c r="AR41" s="54">
        <v>685</v>
      </c>
      <c r="AS41" s="55">
        <v>75.020000000000053</v>
      </c>
      <c r="AT41" s="87"/>
      <c r="AX41" s="54">
        <f t="shared" si="11"/>
        <v>0</v>
      </c>
      <c r="AY41" s="56">
        <f t="shared" si="13"/>
        <v>0.74299999999999966</v>
      </c>
      <c r="AZ41" s="57">
        <v>58.88</v>
      </c>
      <c r="BC41" s="65">
        <v>0.31</v>
      </c>
      <c r="BD41" s="59">
        <f>IF($AN$10&gt;0.64,171.5*$AN$10-72.6,113.8*$AN$10-35.2)</f>
        <v>15876.9</v>
      </c>
    </row>
    <row r="42" spans="3:58">
      <c r="C42" s="25">
        <f>C34</f>
        <v>1004</v>
      </c>
      <c r="D42" s="26">
        <f>D34</f>
        <v>137</v>
      </c>
      <c r="E42" s="26">
        <f t="shared" si="14"/>
        <v>122</v>
      </c>
      <c r="F42" s="27">
        <f t="shared" si="15"/>
        <v>0.99689631999999995</v>
      </c>
      <c r="G42" s="42">
        <f t="shared" si="24"/>
        <v>0</v>
      </c>
      <c r="H42" s="28">
        <f t="shared" si="21"/>
        <v>0</v>
      </c>
      <c r="I42" s="29">
        <f t="shared" si="16"/>
        <v>0</v>
      </c>
      <c r="J42" s="29">
        <f t="shared" si="17"/>
        <v>0</v>
      </c>
      <c r="K42" s="29">
        <f t="shared" si="18"/>
        <v>0</v>
      </c>
      <c r="L42" s="30">
        <f t="shared" si="19"/>
        <v>0</v>
      </c>
      <c r="M42" s="26">
        <f t="shared" si="20"/>
        <v>1</v>
      </c>
      <c r="N42" s="31">
        <f t="shared" si="22"/>
        <v>976.96100000000001</v>
      </c>
      <c r="O42" s="26">
        <f t="shared" si="23"/>
        <v>0</v>
      </c>
      <c r="AQ42" s="36">
        <f t="shared" si="10"/>
        <v>0</v>
      </c>
      <c r="AR42" s="54">
        <v>686</v>
      </c>
      <c r="AS42" s="55">
        <v>74.720000000000056</v>
      </c>
      <c r="AT42" s="87"/>
      <c r="AX42" s="54">
        <f t="shared" si="11"/>
        <v>0</v>
      </c>
      <c r="AY42" s="56">
        <f t="shared" si="13"/>
        <v>0.74309999999999965</v>
      </c>
      <c r="AZ42" s="57">
        <v>58.85</v>
      </c>
      <c r="BC42" s="65">
        <v>0.32</v>
      </c>
      <c r="BD42" s="59">
        <f>IF($AN$10&gt;0.65,171.5*$AN$10-74.4,113.8*$AN$10-36.4)</f>
        <v>15875.1</v>
      </c>
    </row>
    <row r="43" spans="3:58">
      <c r="C43" s="25">
        <f>C34</f>
        <v>1004</v>
      </c>
      <c r="D43" s="26">
        <f>D34</f>
        <v>137</v>
      </c>
      <c r="E43" s="26">
        <f t="shared" si="14"/>
        <v>122</v>
      </c>
      <c r="F43" s="27">
        <f t="shared" si="15"/>
        <v>0.99689631999999995</v>
      </c>
      <c r="G43" s="42">
        <f t="shared" si="24"/>
        <v>0</v>
      </c>
      <c r="H43" s="28">
        <f t="shared" si="21"/>
        <v>0</v>
      </c>
      <c r="I43" s="29">
        <f t="shared" si="16"/>
        <v>0</v>
      </c>
      <c r="J43" s="29">
        <f t="shared" si="17"/>
        <v>0</v>
      </c>
      <c r="K43" s="29">
        <f t="shared" si="18"/>
        <v>0</v>
      </c>
      <c r="L43" s="30">
        <f t="shared" si="19"/>
        <v>0</v>
      </c>
      <c r="M43" s="26">
        <f t="shared" si="20"/>
        <v>1</v>
      </c>
      <c r="N43" s="31">
        <f t="shared" si="22"/>
        <v>976.96100000000001</v>
      </c>
      <c r="O43" s="26">
        <f t="shared" si="23"/>
        <v>0</v>
      </c>
      <c r="AQ43" s="36">
        <f t="shared" si="10"/>
        <v>0</v>
      </c>
      <c r="AR43" s="54">
        <v>687</v>
      </c>
      <c r="AS43" s="55">
        <v>74.420000000000059</v>
      </c>
      <c r="AT43" s="87"/>
      <c r="AX43" s="54">
        <f t="shared" si="11"/>
        <v>0</v>
      </c>
      <c r="AY43" s="56">
        <f t="shared" si="13"/>
        <v>0.74319999999999964</v>
      </c>
      <c r="AZ43" s="57">
        <v>58.83</v>
      </c>
      <c r="BC43" s="65">
        <v>0.33</v>
      </c>
      <c r="BD43" s="59">
        <f>IF($AN$10&gt;0.66,171.5*$AN$10-76.2,113.8*$AN$10-37.5)</f>
        <v>15873.3</v>
      </c>
    </row>
    <row r="44" spans="3:58">
      <c r="C44" s="25">
        <f>C34</f>
        <v>1004</v>
      </c>
      <c r="D44" s="26">
        <f>D34</f>
        <v>137</v>
      </c>
      <c r="E44" s="26">
        <f t="shared" si="14"/>
        <v>122</v>
      </c>
      <c r="F44" s="27">
        <f t="shared" si="15"/>
        <v>0.99689631999999995</v>
      </c>
      <c r="G44" s="42">
        <f t="shared" si="24"/>
        <v>0</v>
      </c>
      <c r="H44" s="28">
        <f t="shared" si="21"/>
        <v>0</v>
      </c>
      <c r="I44" s="29">
        <f t="shared" si="16"/>
        <v>0</v>
      </c>
      <c r="J44" s="29">
        <f t="shared" si="17"/>
        <v>0</v>
      </c>
      <c r="K44" s="29">
        <f t="shared" si="18"/>
        <v>0</v>
      </c>
      <c r="L44" s="30">
        <f t="shared" si="19"/>
        <v>0</v>
      </c>
      <c r="M44" s="26">
        <f t="shared" si="20"/>
        <v>1</v>
      </c>
      <c r="N44" s="31">
        <f t="shared" si="22"/>
        <v>976.96100000000001</v>
      </c>
      <c r="O44" s="26">
        <f t="shared" si="23"/>
        <v>0</v>
      </c>
      <c r="AQ44" s="36">
        <f t="shared" si="10"/>
        <v>0</v>
      </c>
      <c r="AR44" s="54">
        <v>688</v>
      </c>
      <c r="AS44" s="55">
        <v>74.120000000000061</v>
      </c>
      <c r="AT44" s="87"/>
      <c r="AX44" s="54">
        <f t="shared" si="11"/>
        <v>0</v>
      </c>
      <c r="AY44" s="56">
        <f t="shared" si="13"/>
        <v>0.74329999999999963</v>
      </c>
      <c r="AZ44" s="57">
        <v>58.8</v>
      </c>
      <c r="BC44" s="65">
        <v>0.34</v>
      </c>
      <c r="BD44" s="59">
        <f>IF($AN$10&gt;0.67,171.5*$AN$10-78,113.8*$AN$10-38.6)</f>
        <v>15871.5</v>
      </c>
    </row>
    <row r="45" spans="3:58">
      <c r="AQ45" s="36">
        <f t="shared" si="10"/>
        <v>0</v>
      </c>
      <c r="AR45" s="54">
        <v>689</v>
      </c>
      <c r="AS45" s="55">
        <v>73.820000000000064</v>
      </c>
      <c r="AT45" s="87"/>
      <c r="AX45" s="54">
        <f t="shared" si="11"/>
        <v>0</v>
      </c>
      <c r="AY45" s="56">
        <f t="shared" si="13"/>
        <v>0.74339999999999962</v>
      </c>
      <c r="AZ45" s="57">
        <v>58.78</v>
      </c>
      <c r="BC45" s="65">
        <v>0.35</v>
      </c>
      <c r="BD45" s="59">
        <f>IF($AN$10&gt;0.68,171.5*$AN$10-79.8,113.8*$AN$10-39.8)</f>
        <v>15869.7</v>
      </c>
    </row>
    <row r="46" spans="3:58">
      <c r="AQ46" s="36">
        <f t="shared" si="10"/>
        <v>0</v>
      </c>
      <c r="AR46" s="54">
        <v>690</v>
      </c>
      <c r="AS46" s="55">
        <v>73.530000000000072</v>
      </c>
      <c r="AT46" s="87"/>
      <c r="AX46" s="54">
        <f t="shared" si="11"/>
        <v>0</v>
      </c>
      <c r="AY46" s="56">
        <f t="shared" si="13"/>
        <v>0.74349999999999961</v>
      </c>
      <c r="AZ46" s="57">
        <v>58.75</v>
      </c>
      <c r="BC46" s="65">
        <v>0.36</v>
      </c>
      <c r="BD46" s="59">
        <f>IF($AN$10&gt;0.69,171.5*$AN$10-81.6,113.8*$AN$10-40.9)</f>
        <v>15867.9</v>
      </c>
    </row>
    <row r="47" spans="3:58">
      <c r="C47" s="43" t="s">
        <v>41</v>
      </c>
      <c r="AQ47" s="36">
        <f t="shared" si="10"/>
        <v>0</v>
      </c>
      <c r="AR47" s="54">
        <v>691</v>
      </c>
      <c r="AS47" s="55">
        <v>73.230000000000075</v>
      </c>
      <c r="AT47" s="87"/>
      <c r="AX47" s="54">
        <f t="shared" si="11"/>
        <v>0</v>
      </c>
      <c r="AY47" s="56">
        <f t="shared" si="13"/>
        <v>0.74359999999999959</v>
      </c>
      <c r="AZ47" s="57">
        <v>58.72</v>
      </c>
      <c r="BC47" s="65">
        <v>0.37</v>
      </c>
      <c r="BD47" s="59">
        <f>IF($AN$10&gt;0.7,171.5*$AN$10-83.4,113.8*$AN$10-42)</f>
        <v>15866.1</v>
      </c>
    </row>
    <row r="48" spans="3:58">
      <c r="C48" s="114">
        <f>ROUND(N41/1000,4)</f>
        <v>0.97699999999999998</v>
      </c>
      <c r="AQ48" s="36">
        <f t="shared" si="10"/>
        <v>0</v>
      </c>
      <c r="AR48" s="54">
        <v>692</v>
      </c>
      <c r="AS48" s="55">
        <v>72.930000000000078</v>
      </c>
      <c r="AT48" s="87"/>
      <c r="AX48" s="54">
        <f t="shared" si="11"/>
        <v>0</v>
      </c>
      <c r="AY48" s="56">
        <f t="shared" si="13"/>
        <v>0.74369999999999958</v>
      </c>
      <c r="AZ48" s="57">
        <v>58.7</v>
      </c>
      <c r="BC48" s="65">
        <v>0.38</v>
      </c>
      <c r="BD48" s="59">
        <f>IF($AN$10&gt;0.71,171.5*$AN$10-85.2,113.8*$AN$10-43.2)</f>
        <v>15864.3</v>
      </c>
    </row>
    <row r="49" spans="3:56">
      <c r="AQ49" s="36">
        <f t="shared" si="10"/>
        <v>0</v>
      </c>
      <c r="AR49" s="54">
        <v>693</v>
      </c>
      <c r="AS49" s="55">
        <v>72.640000000000086</v>
      </c>
      <c r="AT49" s="87"/>
      <c r="AX49" s="54">
        <f t="shared" si="11"/>
        <v>0</v>
      </c>
      <c r="AY49" s="56">
        <f t="shared" si="13"/>
        <v>0.74379999999999957</v>
      </c>
      <c r="AZ49" s="57">
        <v>58.67</v>
      </c>
      <c r="BC49" s="65">
        <v>0.39</v>
      </c>
      <c r="BD49" s="59">
        <f>IF($AN$10&gt;0.72,171.5*$AN$10-86.9,113.8*$AN$10-44.3)</f>
        <v>15862.6</v>
      </c>
    </row>
    <row r="50" spans="3:56" ht="13.5" thickBot="1">
      <c r="AQ50" s="36">
        <f t="shared" si="10"/>
        <v>0</v>
      </c>
      <c r="AR50" s="54">
        <v>694</v>
      </c>
      <c r="AS50" s="55">
        <v>72.340000000000089</v>
      </c>
      <c r="AT50" s="87"/>
      <c r="AX50" s="54">
        <f t="shared" si="11"/>
        <v>0</v>
      </c>
      <c r="AY50" s="56">
        <f t="shared" si="13"/>
        <v>0.74389999999999956</v>
      </c>
      <c r="AZ50" s="57">
        <v>58.65</v>
      </c>
      <c r="BC50" s="104">
        <v>0.4</v>
      </c>
      <c r="BD50" s="105">
        <f>IF($AN$10&gt;0.73,171.5*$AN$10-88.7,113.8*$AN$10-45.4)</f>
        <v>15860.8</v>
      </c>
    </row>
    <row r="51" spans="3:56">
      <c r="C51" s="20" t="s">
        <v>9</v>
      </c>
      <c r="D51" s="20" t="s">
        <v>10</v>
      </c>
      <c r="E51" s="20" t="s">
        <v>11</v>
      </c>
      <c r="F51" s="20" t="s">
        <v>12</v>
      </c>
      <c r="G51" s="21" t="s">
        <v>13</v>
      </c>
      <c r="H51" s="20" t="s">
        <v>14</v>
      </c>
      <c r="I51" s="20" t="s">
        <v>15</v>
      </c>
      <c r="J51" s="20" t="s">
        <v>16</v>
      </c>
      <c r="K51" s="20" t="s">
        <v>17</v>
      </c>
      <c r="L51" s="20" t="s">
        <v>18</v>
      </c>
      <c r="M51" s="20" t="s">
        <v>19</v>
      </c>
      <c r="N51" s="21" t="s">
        <v>20</v>
      </c>
      <c r="O51" s="20" t="s">
        <v>21</v>
      </c>
      <c r="AQ51" s="36">
        <f t="shared" si="10"/>
        <v>0</v>
      </c>
      <c r="AR51" s="54">
        <v>695</v>
      </c>
      <c r="AS51" s="55">
        <v>72.050000000000097</v>
      </c>
      <c r="AT51" s="87"/>
      <c r="AX51" s="54">
        <f t="shared" si="11"/>
        <v>0</v>
      </c>
      <c r="AY51" s="56">
        <f t="shared" si="13"/>
        <v>0.74399999999999955</v>
      </c>
      <c r="AZ51" s="57">
        <v>58.62</v>
      </c>
    </row>
    <row r="52" spans="3:56">
      <c r="C52" s="25">
        <f>IF(AJ53&gt;0,AJ53,0)</f>
        <v>0</v>
      </c>
      <c r="D52" s="26">
        <f>AJ54</f>
        <v>0</v>
      </c>
      <c r="E52" s="26">
        <f t="shared" ref="E52:E62" si="25">D52-15</f>
        <v>-15</v>
      </c>
      <c r="F52" s="27">
        <f t="shared" ref="F52:F62" si="26">ROUND(1-ROUND(0.000023*E52,9)-ROUND(0.00000002*E52*E52,9),9)</f>
        <v>1.0003405000000001</v>
      </c>
      <c r="G52" s="26">
        <f>ROUND(C52*F52,2)</f>
        <v>0</v>
      </c>
      <c r="H52" s="28" t="e">
        <f>ROUND(TRUNC(TRUNC(613.9723/G52,10)/G52,10),7)</f>
        <v>#DIV/0!</v>
      </c>
      <c r="I52" s="29" t="e">
        <f t="shared" ref="I52:I62" si="27">TRUNC(H52*E52,9)</f>
        <v>#DIV/0!</v>
      </c>
      <c r="J52" s="29" t="e">
        <f t="shared" ref="J52:J62" si="28">TRUNC(0.8*I52,9)</f>
        <v>#DIV/0!</v>
      </c>
      <c r="K52" s="29" t="e">
        <f t="shared" ref="K52:K62" si="29">ROUND(I52*J52,9)</f>
        <v>#DIV/0!</v>
      </c>
      <c r="L52" s="30" t="e">
        <f t="shared" ref="L52:L62" si="30">TRUNC(-I52-K52,7)</f>
        <v>#DIV/0!</v>
      </c>
      <c r="M52" s="26" t="e">
        <f t="shared" ref="M52:M62" si="31">ROUND(EXP(L52),6)</f>
        <v>#DIV/0!</v>
      </c>
      <c r="N52" s="31" t="e">
        <f>ROUND($G$9/M52,3)</f>
        <v>#DIV/0!</v>
      </c>
      <c r="O52" s="32"/>
      <c r="AQ52" s="36">
        <f t="shared" si="10"/>
        <v>0</v>
      </c>
      <c r="AR52" s="54">
        <v>696</v>
      </c>
      <c r="AS52" s="55">
        <v>71.760000000000105</v>
      </c>
      <c r="AT52" s="87"/>
      <c r="AX52" s="54">
        <f t="shared" si="11"/>
        <v>0</v>
      </c>
      <c r="AY52" s="56">
        <f t="shared" si="13"/>
        <v>0.74409999999999954</v>
      </c>
      <c r="AZ52" s="57">
        <v>58.6</v>
      </c>
    </row>
    <row r="53" spans="3:56">
      <c r="C53" s="25">
        <f>C52</f>
        <v>0</v>
      </c>
      <c r="D53" s="26">
        <f>D52</f>
        <v>0</v>
      </c>
      <c r="E53" s="26">
        <f t="shared" si="25"/>
        <v>-15</v>
      </c>
      <c r="F53" s="27">
        <f t="shared" si="26"/>
        <v>1.0003405000000001</v>
      </c>
      <c r="G53" s="42" t="e">
        <f>ROUND(N52,2)</f>
        <v>#DIV/0!</v>
      </c>
      <c r="H53" s="28" t="e">
        <f t="shared" ref="H53:H62" si="32">IF(G53=0,0,ROUND(TRUNC(TRUNC(613.9723/G53,10)/G53,10),7))</f>
        <v>#DIV/0!</v>
      </c>
      <c r="I53" s="29" t="e">
        <f t="shared" si="27"/>
        <v>#DIV/0!</v>
      </c>
      <c r="J53" s="29" t="e">
        <f t="shared" si="28"/>
        <v>#DIV/0!</v>
      </c>
      <c r="K53" s="29" t="e">
        <f t="shared" si="29"/>
        <v>#DIV/0!</v>
      </c>
      <c r="L53" s="30" t="e">
        <f t="shared" si="30"/>
        <v>#DIV/0!</v>
      </c>
      <c r="M53" s="26" t="e">
        <f t="shared" si="31"/>
        <v>#DIV/0!</v>
      </c>
      <c r="N53" s="31" t="e">
        <f t="shared" ref="N53:N62" si="33">IF(M53=1,N52,ROUND($G$9/M53,3))</f>
        <v>#DIV/0!</v>
      </c>
      <c r="O53" s="26" t="e">
        <f t="shared" ref="O53:O62" si="34">ABS(N52-N53)</f>
        <v>#DIV/0!</v>
      </c>
      <c r="AQ53" s="36">
        <f t="shared" si="10"/>
        <v>0</v>
      </c>
      <c r="AR53" s="54">
        <v>697</v>
      </c>
      <c r="AS53" s="55">
        <v>71.460000000000107</v>
      </c>
      <c r="AT53" s="87"/>
      <c r="AX53" s="54">
        <f t="shared" si="11"/>
        <v>0</v>
      </c>
      <c r="AY53" s="56">
        <f t="shared" si="13"/>
        <v>0.74419999999999953</v>
      </c>
      <c r="AZ53" s="57">
        <v>58.57</v>
      </c>
    </row>
    <row r="54" spans="3:56">
      <c r="C54" s="25">
        <f>C52</f>
        <v>0</v>
      </c>
      <c r="D54" s="26">
        <f>D52</f>
        <v>0</v>
      </c>
      <c r="E54" s="26">
        <f t="shared" si="25"/>
        <v>-15</v>
      </c>
      <c r="F54" s="27">
        <f t="shared" si="26"/>
        <v>1.0003405000000001</v>
      </c>
      <c r="G54" s="42" t="e">
        <f>ROUND(N53,2)</f>
        <v>#DIV/0!</v>
      </c>
      <c r="H54" s="28" t="e">
        <f t="shared" si="32"/>
        <v>#DIV/0!</v>
      </c>
      <c r="I54" s="36" t="e">
        <f>IF(AND(($AJ$12*1000)&gt;0,($AJ$12*1000)&gt;J54,($AJ$12*1000)&lt;J55),K54-ROUND((((($AJ$12*1000)-J54)*ABS(K54-K55))/ABS(J54-J55)),2),IF(($AJ$12*1000)=J54,K54,0))</f>
        <v>#DIV/0!</v>
      </c>
      <c r="J54" s="54">
        <v>903</v>
      </c>
      <c r="K54" s="55">
        <v>25.11</v>
      </c>
      <c r="L54" s="87"/>
      <c r="P54" s="54">
        <f>IF(AND(($AJ$12)&gt;0,($AJ$12)&gt;Q54,($AJ$12)&lt;Q55),R54-ROUND((((($AJ$12)-Q54)*ABS(R54-R55))/ABS(Q54-Q55)),2),IF(($AJ$12)=Q54,R54,0))</f>
        <v>0</v>
      </c>
      <c r="Q54" s="56">
        <f>Q53+0.0001</f>
        <v>1E-4</v>
      </c>
      <c r="R54" s="57">
        <v>53.44</v>
      </c>
      <c r="AQ54" s="36">
        <f t="shared" si="10"/>
        <v>0</v>
      </c>
      <c r="AR54" s="54">
        <v>698</v>
      </c>
      <c r="AS54" s="55">
        <v>71.170000000000115</v>
      </c>
      <c r="AT54" s="87"/>
      <c r="AX54" s="54">
        <f t="shared" si="11"/>
        <v>0</v>
      </c>
      <c r="AY54" s="56">
        <f t="shared" si="13"/>
        <v>0.74429999999999952</v>
      </c>
      <c r="AZ54" s="57">
        <v>58.55</v>
      </c>
    </row>
    <row r="55" spans="3:56">
      <c r="C55" s="25">
        <f>C52</f>
        <v>0</v>
      </c>
      <c r="D55" s="26">
        <f>D52</f>
        <v>0</v>
      </c>
      <c r="E55" s="26">
        <f t="shared" si="25"/>
        <v>-15</v>
      </c>
      <c r="F55" s="27">
        <f t="shared" si="26"/>
        <v>1.0003405000000001</v>
      </c>
      <c r="G55" s="42" t="e">
        <f t="shared" ref="G55:G62" si="35">ROUND(IF(AND(O53&lt;0.05,O54&lt;0.05),0,N54),2)</f>
        <v>#DIV/0!</v>
      </c>
      <c r="H55" s="28" t="e">
        <f t="shared" si="32"/>
        <v>#DIV/0!</v>
      </c>
      <c r="I55" s="29" t="e">
        <f t="shared" si="27"/>
        <v>#DIV/0!</v>
      </c>
      <c r="J55" s="29" t="e">
        <f t="shared" si="28"/>
        <v>#DIV/0!</v>
      </c>
      <c r="K55" s="29" t="e">
        <f t="shared" si="29"/>
        <v>#DIV/0!</v>
      </c>
      <c r="L55" s="30" t="e">
        <f t="shared" si="30"/>
        <v>#DIV/0!</v>
      </c>
      <c r="M55" s="26" t="e">
        <f t="shared" si="31"/>
        <v>#DIV/0!</v>
      </c>
      <c r="N55" s="31" t="e">
        <f t="shared" si="33"/>
        <v>#DIV/0!</v>
      </c>
      <c r="O55" s="26" t="e">
        <f t="shared" si="34"/>
        <v>#DIV/0!</v>
      </c>
      <c r="AQ55" s="36">
        <f t="shared" si="10"/>
        <v>0</v>
      </c>
      <c r="AR55" s="54">
        <v>699</v>
      </c>
      <c r="AS55" s="55">
        <v>70.880000000000123</v>
      </c>
      <c r="AT55" s="87"/>
      <c r="AX55" s="54">
        <f t="shared" si="11"/>
        <v>0</v>
      </c>
      <c r="AY55" s="56">
        <f t="shared" si="13"/>
        <v>0.74439999999999951</v>
      </c>
      <c r="AZ55" s="57">
        <v>58.52</v>
      </c>
    </row>
    <row r="56" spans="3:56">
      <c r="C56" s="25">
        <f>C52</f>
        <v>0</v>
      </c>
      <c r="D56" s="26">
        <f>D52</f>
        <v>0</v>
      </c>
      <c r="E56" s="26">
        <f t="shared" si="25"/>
        <v>-15</v>
      </c>
      <c r="F56" s="27">
        <f t="shared" si="26"/>
        <v>1.0003405000000001</v>
      </c>
      <c r="G56" s="42" t="e">
        <f t="shared" si="35"/>
        <v>#DIV/0!</v>
      </c>
      <c r="H56" s="28" t="e">
        <f t="shared" si="32"/>
        <v>#DIV/0!</v>
      </c>
      <c r="I56" s="29" t="e">
        <f t="shared" si="27"/>
        <v>#DIV/0!</v>
      </c>
      <c r="J56" s="29" t="e">
        <f t="shared" si="28"/>
        <v>#DIV/0!</v>
      </c>
      <c r="K56" s="29" t="e">
        <f t="shared" si="29"/>
        <v>#DIV/0!</v>
      </c>
      <c r="L56" s="30" t="e">
        <f t="shared" si="30"/>
        <v>#DIV/0!</v>
      </c>
      <c r="M56" s="26" t="e">
        <f t="shared" si="31"/>
        <v>#DIV/0!</v>
      </c>
      <c r="N56" s="31" t="e">
        <f t="shared" si="33"/>
        <v>#DIV/0!</v>
      </c>
      <c r="O56" s="26" t="e">
        <f t="shared" si="34"/>
        <v>#DIV/0!</v>
      </c>
      <c r="AQ56" s="36">
        <f t="shared" si="10"/>
        <v>0</v>
      </c>
      <c r="AR56" s="54">
        <v>700</v>
      </c>
      <c r="AS56" s="55">
        <v>70.590000000000131</v>
      </c>
      <c r="AT56" s="87"/>
      <c r="AX56" s="54">
        <f t="shared" si="11"/>
        <v>0</v>
      </c>
      <c r="AY56" s="56">
        <f t="shared" si="13"/>
        <v>0.7444999999999995</v>
      </c>
      <c r="AZ56" s="57">
        <v>58.5</v>
      </c>
    </row>
    <row r="57" spans="3:56">
      <c r="C57" s="25">
        <f>C52</f>
        <v>0</v>
      </c>
      <c r="D57" s="26">
        <f>D52</f>
        <v>0</v>
      </c>
      <c r="E57" s="26">
        <f t="shared" si="25"/>
        <v>-15</v>
      </c>
      <c r="F57" s="27">
        <f t="shared" si="26"/>
        <v>1.0003405000000001</v>
      </c>
      <c r="G57" s="42" t="e">
        <f t="shared" si="35"/>
        <v>#DIV/0!</v>
      </c>
      <c r="H57" s="28" t="e">
        <f t="shared" si="32"/>
        <v>#DIV/0!</v>
      </c>
      <c r="I57" s="29" t="e">
        <f t="shared" si="27"/>
        <v>#DIV/0!</v>
      </c>
      <c r="J57" s="29" t="e">
        <f t="shared" si="28"/>
        <v>#DIV/0!</v>
      </c>
      <c r="K57" s="29" t="e">
        <f t="shared" si="29"/>
        <v>#DIV/0!</v>
      </c>
      <c r="L57" s="30" t="e">
        <f t="shared" si="30"/>
        <v>#DIV/0!</v>
      </c>
      <c r="M57" s="26" t="e">
        <f t="shared" si="31"/>
        <v>#DIV/0!</v>
      </c>
      <c r="N57" s="31" t="e">
        <f t="shared" si="33"/>
        <v>#DIV/0!</v>
      </c>
      <c r="O57" s="26" t="e">
        <f t="shared" si="34"/>
        <v>#DIV/0!</v>
      </c>
      <c r="AQ57" s="36">
        <f t="shared" si="10"/>
        <v>0</v>
      </c>
      <c r="AR57" s="54">
        <v>701</v>
      </c>
      <c r="AS57" s="55">
        <v>70.300000000000139</v>
      </c>
      <c r="AT57" s="87"/>
      <c r="AX57" s="54">
        <f t="shared" si="11"/>
        <v>0</v>
      </c>
      <c r="AY57" s="56">
        <f t="shared" si="13"/>
        <v>0.74459999999999948</v>
      </c>
      <c r="AZ57" s="57">
        <v>58.47</v>
      </c>
    </row>
    <row r="58" spans="3:56">
      <c r="C58" s="25">
        <f>C52</f>
        <v>0</v>
      </c>
      <c r="D58" s="26">
        <f>D52</f>
        <v>0</v>
      </c>
      <c r="E58" s="26">
        <f t="shared" si="25"/>
        <v>-15</v>
      </c>
      <c r="F58" s="27">
        <f t="shared" si="26"/>
        <v>1.0003405000000001</v>
      </c>
      <c r="G58" s="42" t="e">
        <f t="shared" si="35"/>
        <v>#DIV/0!</v>
      </c>
      <c r="H58" s="28" t="e">
        <f t="shared" si="32"/>
        <v>#DIV/0!</v>
      </c>
      <c r="I58" s="29" t="e">
        <f t="shared" si="27"/>
        <v>#DIV/0!</v>
      </c>
      <c r="J58" s="29" t="e">
        <f t="shared" si="28"/>
        <v>#DIV/0!</v>
      </c>
      <c r="K58" s="29" t="e">
        <f t="shared" si="29"/>
        <v>#DIV/0!</v>
      </c>
      <c r="L58" s="30" t="e">
        <f t="shared" si="30"/>
        <v>#DIV/0!</v>
      </c>
      <c r="M58" s="26" t="e">
        <f t="shared" si="31"/>
        <v>#DIV/0!</v>
      </c>
      <c r="N58" s="31" t="e">
        <f t="shared" si="33"/>
        <v>#DIV/0!</v>
      </c>
      <c r="O58" s="26" t="e">
        <f t="shared" si="34"/>
        <v>#DIV/0!</v>
      </c>
      <c r="AQ58" s="36">
        <f t="shared" si="10"/>
        <v>0</v>
      </c>
      <c r="AR58" s="54">
        <v>702</v>
      </c>
      <c r="AS58" s="55">
        <v>70.020000000000138</v>
      </c>
      <c r="AT58" s="87"/>
      <c r="AX58" s="54">
        <f t="shared" si="11"/>
        <v>0</v>
      </c>
      <c r="AY58" s="56">
        <f t="shared" si="13"/>
        <v>0.74469999999999947</v>
      </c>
      <c r="AZ58" s="57">
        <v>58.45</v>
      </c>
    </row>
    <row r="59" spans="3:56">
      <c r="C59" s="25">
        <f>C52</f>
        <v>0</v>
      </c>
      <c r="D59" s="26">
        <f>D52</f>
        <v>0</v>
      </c>
      <c r="E59" s="26">
        <f t="shared" si="25"/>
        <v>-15</v>
      </c>
      <c r="F59" s="27">
        <f t="shared" si="26"/>
        <v>1.0003405000000001</v>
      </c>
      <c r="G59" s="42" t="e">
        <f t="shared" si="35"/>
        <v>#DIV/0!</v>
      </c>
      <c r="H59" s="28" t="e">
        <f t="shared" si="32"/>
        <v>#DIV/0!</v>
      </c>
      <c r="I59" s="29" t="e">
        <f t="shared" si="27"/>
        <v>#DIV/0!</v>
      </c>
      <c r="J59" s="29" t="e">
        <f t="shared" si="28"/>
        <v>#DIV/0!</v>
      </c>
      <c r="K59" s="29" t="e">
        <f t="shared" si="29"/>
        <v>#DIV/0!</v>
      </c>
      <c r="L59" s="30" t="e">
        <f t="shared" si="30"/>
        <v>#DIV/0!</v>
      </c>
      <c r="M59" s="26" t="e">
        <f t="shared" si="31"/>
        <v>#DIV/0!</v>
      </c>
      <c r="N59" s="31" t="e">
        <f t="shared" si="33"/>
        <v>#DIV/0!</v>
      </c>
      <c r="O59" s="26" t="e">
        <f t="shared" si="34"/>
        <v>#DIV/0!</v>
      </c>
      <c r="AQ59" s="36">
        <f t="shared" si="10"/>
        <v>0</v>
      </c>
      <c r="AR59" s="54">
        <v>703</v>
      </c>
      <c r="AS59" s="55">
        <v>69.730000000000146</v>
      </c>
      <c r="AT59" s="87"/>
      <c r="AX59" s="54">
        <f t="shared" si="11"/>
        <v>0</v>
      </c>
      <c r="AY59" s="56">
        <f t="shared" si="13"/>
        <v>0.74479999999999946</v>
      </c>
      <c r="AZ59" s="57">
        <v>58.42</v>
      </c>
    </row>
    <row r="60" spans="3:56">
      <c r="C60" s="25">
        <f>C52</f>
        <v>0</v>
      </c>
      <c r="D60" s="26">
        <f>D52</f>
        <v>0</v>
      </c>
      <c r="E60" s="26">
        <f t="shared" si="25"/>
        <v>-15</v>
      </c>
      <c r="F60" s="27">
        <f t="shared" si="26"/>
        <v>1.0003405000000001</v>
      </c>
      <c r="G60" s="42" t="e">
        <f t="shared" si="35"/>
        <v>#DIV/0!</v>
      </c>
      <c r="H60" s="28" t="e">
        <f t="shared" si="32"/>
        <v>#DIV/0!</v>
      </c>
      <c r="I60" s="29" t="e">
        <f t="shared" si="27"/>
        <v>#DIV/0!</v>
      </c>
      <c r="J60" s="29" t="e">
        <f t="shared" si="28"/>
        <v>#DIV/0!</v>
      </c>
      <c r="K60" s="29" t="e">
        <f t="shared" si="29"/>
        <v>#DIV/0!</v>
      </c>
      <c r="L60" s="30" t="e">
        <f t="shared" si="30"/>
        <v>#DIV/0!</v>
      </c>
      <c r="M60" s="26" t="e">
        <f t="shared" si="31"/>
        <v>#DIV/0!</v>
      </c>
      <c r="N60" s="31" t="e">
        <f t="shared" si="33"/>
        <v>#DIV/0!</v>
      </c>
      <c r="O60" s="26" t="e">
        <f t="shared" si="34"/>
        <v>#DIV/0!</v>
      </c>
      <c r="AQ60" s="36">
        <f t="shared" si="10"/>
        <v>0</v>
      </c>
      <c r="AR60" s="54">
        <v>704</v>
      </c>
      <c r="AS60" s="55">
        <v>69.440000000000154</v>
      </c>
      <c r="AT60" s="87"/>
      <c r="AX60" s="54">
        <f t="shared" si="11"/>
        <v>0</v>
      </c>
      <c r="AY60" s="56">
        <f t="shared" si="13"/>
        <v>0.74489999999999945</v>
      </c>
      <c r="AZ60" s="57">
        <v>58.4</v>
      </c>
    </row>
    <row r="61" spans="3:56">
      <c r="C61" s="25">
        <f>C52</f>
        <v>0</v>
      </c>
      <c r="D61" s="26">
        <f>D52</f>
        <v>0</v>
      </c>
      <c r="E61" s="26">
        <f t="shared" si="25"/>
        <v>-15</v>
      </c>
      <c r="F61" s="27">
        <f t="shared" si="26"/>
        <v>1.0003405000000001</v>
      </c>
      <c r="G61" s="42" t="e">
        <f t="shared" si="35"/>
        <v>#DIV/0!</v>
      </c>
      <c r="H61" s="28" t="e">
        <f t="shared" si="32"/>
        <v>#DIV/0!</v>
      </c>
      <c r="I61" s="29" t="e">
        <f t="shared" si="27"/>
        <v>#DIV/0!</v>
      </c>
      <c r="J61" s="29" t="e">
        <f t="shared" si="28"/>
        <v>#DIV/0!</v>
      </c>
      <c r="K61" s="29" t="e">
        <f t="shared" si="29"/>
        <v>#DIV/0!</v>
      </c>
      <c r="L61" s="30" t="e">
        <f t="shared" si="30"/>
        <v>#DIV/0!</v>
      </c>
      <c r="M61" s="26" t="e">
        <f t="shared" si="31"/>
        <v>#DIV/0!</v>
      </c>
      <c r="N61" s="31" t="e">
        <f t="shared" si="33"/>
        <v>#DIV/0!</v>
      </c>
      <c r="O61" s="26" t="e">
        <f t="shared" si="34"/>
        <v>#DIV/0!</v>
      </c>
      <c r="AQ61" s="36">
        <f t="shared" si="10"/>
        <v>0</v>
      </c>
      <c r="AR61" s="54">
        <v>705</v>
      </c>
      <c r="AS61" s="55">
        <v>69.160000000000153</v>
      </c>
      <c r="AT61" s="87"/>
      <c r="AX61" s="54">
        <f t="shared" si="11"/>
        <v>0</v>
      </c>
      <c r="AY61" s="56">
        <f t="shared" si="13"/>
        <v>0.74499999999999944</v>
      </c>
      <c r="AZ61" s="57">
        <v>58.37</v>
      </c>
    </row>
    <row r="62" spans="3:56">
      <c r="C62" s="25">
        <f>C52</f>
        <v>0</v>
      </c>
      <c r="D62" s="26">
        <f>D52</f>
        <v>0</v>
      </c>
      <c r="E62" s="26">
        <f t="shared" si="25"/>
        <v>-15</v>
      </c>
      <c r="F62" s="27">
        <f t="shared" si="26"/>
        <v>1.0003405000000001</v>
      </c>
      <c r="G62" s="42" t="e">
        <f t="shared" si="35"/>
        <v>#DIV/0!</v>
      </c>
      <c r="H62" s="28" t="e">
        <f t="shared" si="32"/>
        <v>#DIV/0!</v>
      </c>
      <c r="I62" s="29" t="e">
        <f t="shared" si="27"/>
        <v>#DIV/0!</v>
      </c>
      <c r="J62" s="29" t="e">
        <f t="shared" si="28"/>
        <v>#DIV/0!</v>
      </c>
      <c r="K62" s="29" t="e">
        <f t="shared" si="29"/>
        <v>#DIV/0!</v>
      </c>
      <c r="L62" s="30" t="e">
        <f t="shared" si="30"/>
        <v>#DIV/0!</v>
      </c>
      <c r="M62" s="26" t="e">
        <f t="shared" si="31"/>
        <v>#DIV/0!</v>
      </c>
      <c r="N62" s="31" t="e">
        <f t="shared" si="33"/>
        <v>#DIV/0!</v>
      </c>
      <c r="O62" s="26" t="e">
        <f t="shared" si="34"/>
        <v>#DIV/0!</v>
      </c>
      <c r="AQ62" s="36">
        <f t="shared" si="10"/>
        <v>0</v>
      </c>
      <c r="AR62" s="54">
        <v>706</v>
      </c>
      <c r="AS62" s="55">
        <v>68.870000000000161</v>
      </c>
      <c r="AT62" s="87"/>
      <c r="AX62" s="54">
        <f t="shared" si="11"/>
        <v>0</v>
      </c>
      <c r="AY62" s="56">
        <f t="shared" si="13"/>
        <v>0.74509999999999943</v>
      </c>
      <c r="AZ62" s="57">
        <v>58.34</v>
      </c>
    </row>
    <row r="63" spans="3:56">
      <c r="AQ63" s="36">
        <f t="shared" si="10"/>
        <v>0</v>
      </c>
      <c r="AR63" s="54">
        <v>707</v>
      </c>
      <c r="AS63" s="55">
        <v>68.59000000000016</v>
      </c>
      <c r="AT63" s="87"/>
      <c r="AX63" s="54">
        <f t="shared" si="11"/>
        <v>0</v>
      </c>
      <c r="AY63" s="56">
        <f t="shared" si="13"/>
        <v>0.74519999999999942</v>
      </c>
      <c r="AZ63" s="57">
        <v>58.32</v>
      </c>
    </row>
    <row r="64" spans="3:56">
      <c r="AQ64" s="36">
        <f t="shared" si="10"/>
        <v>0</v>
      </c>
      <c r="AR64" s="54">
        <v>708</v>
      </c>
      <c r="AS64" s="55">
        <v>68.310000000000159</v>
      </c>
      <c r="AT64" s="87"/>
      <c r="AX64" s="54">
        <f t="shared" si="11"/>
        <v>0</v>
      </c>
      <c r="AY64" s="56">
        <f t="shared" si="13"/>
        <v>0.74529999999999941</v>
      </c>
      <c r="AZ64" s="57">
        <v>58.29</v>
      </c>
    </row>
    <row r="65" spans="3:52">
      <c r="C65" s="43" t="s">
        <v>41</v>
      </c>
      <c r="AQ65" s="36">
        <f t="shared" si="10"/>
        <v>0</v>
      </c>
      <c r="AR65" s="54">
        <v>709</v>
      </c>
      <c r="AS65" s="55">
        <v>68.020000000000167</v>
      </c>
      <c r="AT65" s="87"/>
      <c r="AX65" s="54">
        <f t="shared" si="11"/>
        <v>0</v>
      </c>
      <c r="AY65" s="56">
        <f t="shared" si="13"/>
        <v>0.7453999999999994</v>
      </c>
      <c r="AZ65" s="57">
        <v>58.27</v>
      </c>
    </row>
    <row r="66" spans="3:52">
      <c r="C66" s="114" t="e">
        <f>ROUND(N59/1000,4)</f>
        <v>#DIV/0!</v>
      </c>
      <c r="AQ66" s="36">
        <f t="shared" si="10"/>
        <v>0</v>
      </c>
      <c r="AR66" s="54">
        <v>710</v>
      </c>
      <c r="AS66" s="55">
        <v>67.740000000000165</v>
      </c>
      <c r="AT66" s="87"/>
      <c r="AX66" s="54">
        <f t="shared" si="11"/>
        <v>0</v>
      </c>
      <c r="AY66" s="56">
        <f t="shared" si="13"/>
        <v>0.74549999999999939</v>
      </c>
      <c r="AZ66" s="57">
        <v>58.24</v>
      </c>
    </row>
    <row r="67" spans="3:52">
      <c r="AQ67" s="36">
        <f t="shared" si="10"/>
        <v>0</v>
      </c>
      <c r="AR67" s="54">
        <v>711</v>
      </c>
      <c r="AS67" s="55">
        <v>67.460000000000164</v>
      </c>
      <c r="AT67" s="87"/>
      <c r="AX67" s="54">
        <f t="shared" si="11"/>
        <v>0</v>
      </c>
      <c r="AY67" s="56">
        <f t="shared" si="13"/>
        <v>0.74559999999999937</v>
      </c>
      <c r="AZ67" s="57">
        <v>58.21</v>
      </c>
    </row>
    <row r="68" spans="3:52">
      <c r="AQ68" s="36">
        <f t="shared" si="10"/>
        <v>0</v>
      </c>
      <c r="AR68" s="54">
        <v>712</v>
      </c>
      <c r="AS68" s="55">
        <v>67.180000000000163</v>
      </c>
      <c r="AT68" s="87"/>
      <c r="AX68" s="54">
        <f t="shared" si="11"/>
        <v>0</v>
      </c>
      <c r="AY68" s="56">
        <f t="shared" si="13"/>
        <v>0.74569999999999936</v>
      </c>
      <c r="AZ68" s="57">
        <v>58.19</v>
      </c>
    </row>
    <row r="69" spans="3:52">
      <c r="AQ69" s="36">
        <f t="shared" si="10"/>
        <v>0</v>
      </c>
      <c r="AR69" s="54">
        <v>713</v>
      </c>
      <c r="AS69" s="55">
        <v>66.900000000000162</v>
      </c>
      <c r="AT69" s="87"/>
      <c r="AX69" s="54">
        <f t="shared" si="11"/>
        <v>0</v>
      </c>
      <c r="AY69" s="56">
        <f t="shared" si="13"/>
        <v>0.74579999999999935</v>
      </c>
      <c r="AZ69" s="57">
        <v>58.16</v>
      </c>
    </row>
    <row r="70" spans="3:52">
      <c r="AQ70" s="36">
        <f t="shared" si="10"/>
        <v>0</v>
      </c>
      <c r="AR70" s="54">
        <v>714</v>
      </c>
      <c r="AS70" s="55">
        <v>66.630000000000166</v>
      </c>
      <c r="AT70" s="87"/>
      <c r="AX70" s="54">
        <f t="shared" si="11"/>
        <v>0</v>
      </c>
      <c r="AY70" s="56">
        <f t="shared" si="13"/>
        <v>0.74589999999999934</v>
      </c>
      <c r="AZ70" s="57">
        <v>58.14</v>
      </c>
    </row>
    <row r="71" spans="3:52">
      <c r="AQ71" s="36">
        <f t="shared" si="10"/>
        <v>0</v>
      </c>
      <c r="AR71" s="54">
        <v>715</v>
      </c>
      <c r="AS71" s="55">
        <v>66.350000000000165</v>
      </c>
      <c r="AT71" s="87"/>
      <c r="AX71" s="54">
        <f t="shared" si="11"/>
        <v>0</v>
      </c>
      <c r="AY71" s="56">
        <f t="shared" si="13"/>
        <v>0.74599999999999933</v>
      </c>
      <c r="AZ71" s="57">
        <v>58.11</v>
      </c>
    </row>
    <row r="72" spans="3:52">
      <c r="AQ72" s="36">
        <f t="shared" si="10"/>
        <v>0</v>
      </c>
      <c r="AR72" s="54">
        <v>716</v>
      </c>
      <c r="AS72" s="55">
        <v>66.070000000000164</v>
      </c>
      <c r="AT72" s="87"/>
      <c r="AX72" s="54">
        <f t="shared" si="11"/>
        <v>0</v>
      </c>
      <c r="AY72" s="56">
        <f t="shared" si="13"/>
        <v>0.74609999999999932</v>
      </c>
      <c r="AZ72" s="57">
        <v>58.09</v>
      </c>
    </row>
    <row r="73" spans="3:52">
      <c r="AQ73" s="36">
        <f t="shared" si="10"/>
        <v>0</v>
      </c>
      <c r="AR73" s="54">
        <v>717</v>
      </c>
      <c r="AS73" s="55">
        <v>65.800000000000168</v>
      </c>
      <c r="AT73" s="87"/>
      <c r="AX73" s="54">
        <f t="shared" si="11"/>
        <v>0</v>
      </c>
      <c r="AY73" s="56">
        <f t="shared" si="13"/>
        <v>0.74619999999999931</v>
      </c>
      <c r="AZ73" s="57">
        <v>58.06</v>
      </c>
    </row>
    <row r="74" spans="3:52">
      <c r="AQ74" s="36">
        <f t="shared" si="10"/>
        <v>0</v>
      </c>
      <c r="AR74" s="54">
        <v>718</v>
      </c>
      <c r="AS74" s="55">
        <v>65.520000000000167</v>
      </c>
      <c r="AT74" s="87"/>
      <c r="AX74" s="54">
        <f t="shared" si="11"/>
        <v>0</v>
      </c>
      <c r="AY74" s="56">
        <f t="shared" si="13"/>
        <v>0.7462999999999993</v>
      </c>
      <c r="AZ74" s="57">
        <v>58.04</v>
      </c>
    </row>
    <row r="75" spans="3:52">
      <c r="AQ75" s="36">
        <f t="shared" ref="AQ75:AQ138" si="36">IF(AND(($AJ$12*1000)&gt;0,($AJ$12*1000)&gt;AR75,($AJ$12*1000)&lt;AR76),AS75-ROUND((((($AJ$12*1000)-AR75)*ABS(AS75-AS76))/ABS(AR75-AR76)),2),IF(($AJ$12*1000)=AR75,AS75,0))</f>
        <v>0</v>
      </c>
      <c r="AR75" s="54">
        <v>719</v>
      </c>
      <c r="AS75" s="55">
        <v>65.250000000000171</v>
      </c>
      <c r="AT75" s="87"/>
      <c r="AX75" s="54">
        <f t="shared" ref="AX75:AX138" si="37">IF(AND(($AJ$12)&gt;0,($AJ$12)&gt;AY75,($AJ$12)&lt;AY76),AZ75-ROUND((((($AJ$12)-AY75)*ABS(AZ75-AZ76))/ABS(AY75-AY76)),2),IF(($AJ$12)=AY75,AZ75,0))</f>
        <v>0</v>
      </c>
      <c r="AY75" s="56">
        <f t="shared" si="13"/>
        <v>0.74639999999999929</v>
      </c>
      <c r="AZ75" s="57">
        <v>58.01</v>
      </c>
    </row>
    <row r="76" spans="3:52">
      <c r="AQ76" s="36">
        <f t="shared" si="36"/>
        <v>0</v>
      </c>
      <c r="AR76" s="54">
        <v>720</v>
      </c>
      <c r="AS76" s="55">
        <v>64.970000000000169</v>
      </c>
      <c r="AT76" s="87"/>
      <c r="AX76" s="54">
        <f t="shared" si="37"/>
        <v>0</v>
      </c>
      <c r="AY76" s="56">
        <f t="shared" ref="AY76:AY139" si="38">AY75+0.0001</f>
        <v>0.74649999999999928</v>
      </c>
      <c r="AZ76" s="57">
        <v>57.99</v>
      </c>
    </row>
    <row r="77" spans="3:52">
      <c r="AQ77" s="36">
        <f t="shared" si="36"/>
        <v>0</v>
      </c>
      <c r="AR77" s="54">
        <v>721</v>
      </c>
      <c r="AS77" s="55">
        <v>64.700000000000173</v>
      </c>
      <c r="AT77" s="87"/>
      <c r="AX77" s="54">
        <f t="shared" si="37"/>
        <v>0</v>
      </c>
      <c r="AY77" s="56">
        <f t="shared" si="38"/>
        <v>0.74659999999999926</v>
      </c>
      <c r="AZ77" s="57">
        <v>57.96</v>
      </c>
    </row>
    <row r="78" spans="3:52">
      <c r="AQ78" s="36">
        <f t="shared" si="36"/>
        <v>0</v>
      </c>
      <c r="AR78" s="54">
        <v>722</v>
      </c>
      <c r="AS78" s="55">
        <v>64.430000000000177</v>
      </c>
      <c r="AT78" s="87"/>
      <c r="AX78" s="54">
        <f t="shared" si="37"/>
        <v>0</v>
      </c>
      <c r="AY78" s="56">
        <f t="shared" si="38"/>
        <v>0.74669999999999925</v>
      </c>
      <c r="AZ78" s="57">
        <v>57.94</v>
      </c>
    </row>
    <row r="79" spans="3:52">
      <c r="AQ79" s="36">
        <f t="shared" si="36"/>
        <v>0</v>
      </c>
      <c r="AR79" s="54">
        <v>723</v>
      </c>
      <c r="AS79" s="55">
        <v>64.160000000000181</v>
      </c>
      <c r="AT79" s="87"/>
      <c r="AX79" s="54">
        <f t="shared" si="37"/>
        <v>0</v>
      </c>
      <c r="AY79" s="56">
        <f t="shared" si="38"/>
        <v>0.74679999999999924</v>
      </c>
      <c r="AZ79" s="57">
        <v>57.91</v>
      </c>
    </row>
    <row r="80" spans="3:52">
      <c r="AQ80" s="36">
        <f t="shared" si="36"/>
        <v>0</v>
      </c>
      <c r="AR80" s="54">
        <v>724</v>
      </c>
      <c r="AS80" s="55">
        <v>63.890000000000185</v>
      </c>
      <c r="AT80" s="87"/>
      <c r="AX80" s="54">
        <f t="shared" si="37"/>
        <v>0</v>
      </c>
      <c r="AY80" s="56">
        <f t="shared" si="38"/>
        <v>0.74689999999999923</v>
      </c>
      <c r="AZ80" s="57">
        <v>57.89</v>
      </c>
    </row>
    <row r="81" spans="43:52">
      <c r="AQ81" s="36">
        <f t="shared" si="36"/>
        <v>0</v>
      </c>
      <c r="AR81" s="54">
        <v>725</v>
      </c>
      <c r="AS81" s="55">
        <v>63.620000000000189</v>
      </c>
      <c r="AT81" s="87"/>
      <c r="AX81" s="54">
        <f t="shared" si="37"/>
        <v>0</v>
      </c>
      <c r="AY81" s="56">
        <f t="shared" si="38"/>
        <v>0.74699999999999922</v>
      </c>
      <c r="AZ81" s="57">
        <v>57.86</v>
      </c>
    </row>
    <row r="82" spans="43:52">
      <c r="AQ82" s="36">
        <f t="shared" si="36"/>
        <v>0</v>
      </c>
      <c r="AR82" s="54">
        <v>726</v>
      </c>
      <c r="AS82" s="55">
        <v>63.350000000000193</v>
      </c>
      <c r="AT82" s="87"/>
      <c r="AX82" s="54">
        <f t="shared" si="37"/>
        <v>0</v>
      </c>
      <c r="AY82" s="56">
        <f t="shared" si="38"/>
        <v>0.74709999999999921</v>
      </c>
      <c r="AZ82" s="57">
        <v>57.83</v>
      </c>
    </row>
    <row r="83" spans="43:52">
      <c r="AQ83" s="36">
        <f t="shared" si="36"/>
        <v>0</v>
      </c>
      <c r="AR83" s="54">
        <v>727</v>
      </c>
      <c r="AS83" s="55">
        <v>63.080000000000197</v>
      </c>
      <c r="AT83" s="87"/>
      <c r="AX83" s="54">
        <f t="shared" si="37"/>
        <v>0</v>
      </c>
      <c r="AY83" s="56">
        <f t="shared" si="38"/>
        <v>0.7471999999999992</v>
      </c>
      <c r="AZ83" s="57">
        <v>57.81</v>
      </c>
    </row>
    <row r="84" spans="43:52">
      <c r="AQ84" s="36">
        <f t="shared" si="36"/>
        <v>0</v>
      </c>
      <c r="AR84" s="54">
        <v>728</v>
      </c>
      <c r="AS84" s="55">
        <v>62.810000000000201</v>
      </c>
      <c r="AT84" s="87"/>
      <c r="AX84" s="54">
        <f t="shared" si="37"/>
        <v>0</v>
      </c>
      <c r="AY84" s="56">
        <f t="shared" si="38"/>
        <v>0.74729999999999919</v>
      </c>
      <c r="AZ84" s="57">
        <v>57.78</v>
      </c>
    </row>
    <row r="85" spans="43:52">
      <c r="AQ85" s="36">
        <f t="shared" si="36"/>
        <v>0</v>
      </c>
      <c r="AR85" s="54">
        <v>729</v>
      </c>
      <c r="AS85" s="55">
        <v>62.540000000000205</v>
      </c>
      <c r="AT85" s="87"/>
      <c r="AX85" s="54">
        <f t="shared" si="37"/>
        <v>0</v>
      </c>
      <c r="AY85" s="56">
        <f t="shared" si="38"/>
        <v>0.74739999999999918</v>
      </c>
      <c r="AZ85" s="57">
        <v>57.76</v>
      </c>
    </row>
    <row r="86" spans="43:52">
      <c r="AQ86" s="36">
        <f t="shared" si="36"/>
        <v>0</v>
      </c>
      <c r="AR86" s="54">
        <v>730</v>
      </c>
      <c r="AS86" s="55">
        <v>62.280000000000207</v>
      </c>
      <c r="AT86" s="87"/>
      <c r="AX86" s="54">
        <f t="shared" si="37"/>
        <v>0</v>
      </c>
      <c r="AY86" s="56">
        <f t="shared" si="38"/>
        <v>0.74749999999999917</v>
      </c>
      <c r="AZ86" s="57">
        <v>57.73</v>
      </c>
    </row>
    <row r="87" spans="43:52">
      <c r="AQ87" s="36">
        <f t="shared" si="36"/>
        <v>0</v>
      </c>
      <c r="AR87" s="54">
        <v>731</v>
      </c>
      <c r="AS87" s="55">
        <v>62.010000000000211</v>
      </c>
      <c r="AT87" s="87"/>
      <c r="AX87" s="54">
        <f t="shared" si="37"/>
        <v>0</v>
      </c>
      <c r="AY87" s="56">
        <f t="shared" si="38"/>
        <v>0.74759999999999915</v>
      </c>
      <c r="AZ87" s="57">
        <v>57.7</v>
      </c>
    </row>
    <row r="88" spans="43:52">
      <c r="AQ88" s="36">
        <f t="shared" si="36"/>
        <v>0</v>
      </c>
      <c r="AR88" s="54">
        <v>732</v>
      </c>
      <c r="AS88" s="55">
        <v>61.750000000000213</v>
      </c>
      <c r="AT88" s="87"/>
      <c r="AX88" s="54">
        <f t="shared" si="37"/>
        <v>0</v>
      </c>
      <c r="AY88" s="56">
        <f t="shared" si="38"/>
        <v>0.74769999999999914</v>
      </c>
      <c r="AZ88" s="57">
        <v>57.68</v>
      </c>
    </row>
    <row r="89" spans="43:52">
      <c r="AQ89" s="36">
        <f t="shared" si="36"/>
        <v>0</v>
      </c>
      <c r="AR89" s="54">
        <v>733</v>
      </c>
      <c r="AS89" s="55">
        <v>61.480000000000217</v>
      </c>
      <c r="AT89" s="87"/>
      <c r="AX89" s="54">
        <f t="shared" si="37"/>
        <v>0</v>
      </c>
      <c r="AY89" s="56">
        <f t="shared" si="38"/>
        <v>0.74779999999999913</v>
      </c>
      <c r="AZ89" s="57">
        <v>57.65</v>
      </c>
    </row>
    <row r="90" spans="43:52">
      <c r="AQ90" s="36">
        <f t="shared" si="36"/>
        <v>0</v>
      </c>
      <c r="AR90" s="54">
        <v>734</v>
      </c>
      <c r="AS90" s="55">
        <v>61.220000000000219</v>
      </c>
      <c r="AT90" s="87"/>
      <c r="AX90" s="54">
        <f t="shared" si="37"/>
        <v>0</v>
      </c>
      <c r="AY90" s="56">
        <f t="shared" si="38"/>
        <v>0.74789999999999912</v>
      </c>
      <c r="AZ90" s="57">
        <v>57.63</v>
      </c>
    </row>
    <row r="91" spans="43:52">
      <c r="AQ91" s="36">
        <f t="shared" si="36"/>
        <v>0</v>
      </c>
      <c r="AR91" s="54">
        <v>735</v>
      </c>
      <c r="AS91" s="55">
        <v>60.960000000000221</v>
      </c>
      <c r="AT91" s="87"/>
      <c r="AX91" s="54">
        <f t="shared" si="37"/>
        <v>0</v>
      </c>
      <c r="AY91" s="56">
        <f t="shared" si="38"/>
        <v>0.74799999999999911</v>
      </c>
      <c r="AZ91" s="57">
        <v>57.6</v>
      </c>
    </row>
    <row r="92" spans="43:52">
      <c r="AQ92" s="36">
        <f t="shared" si="36"/>
        <v>0</v>
      </c>
      <c r="AR92" s="54">
        <v>736</v>
      </c>
      <c r="AS92" s="55">
        <v>60.700000000000223</v>
      </c>
      <c r="AT92" s="87"/>
      <c r="AX92" s="54">
        <f t="shared" si="37"/>
        <v>0</v>
      </c>
      <c r="AY92" s="56">
        <f t="shared" si="38"/>
        <v>0.7480999999999991</v>
      </c>
      <c r="AZ92" s="57">
        <v>57.58</v>
      </c>
    </row>
    <row r="93" spans="43:52">
      <c r="AQ93" s="36">
        <f t="shared" si="36"/>
        <v>0</v>
      </c>
      <c r="AR93" s="54">
        <v>737</v>
      </c>
      <c r="AS93" s="55">
        <v>60.440000000000225</v>
      </c>
      <c r="AT93" s="87"/>
      <c r="AX93" s="54">
        <f t="shared" si="37"/>
        <v>0</v>
      </c>
      <c r="AY93" s="56">
        <f t="shared" si="38"/>
        <v>0.74819999999999909</v>
      </c>
      <c r="AZ93" s="57">
        <v>57.55</v>
      </c>
    </row>
    <row r="94" spans="43:52">
      <c r="AQ94" s="36">
        <f t="shared" si="36"/>
        <v>0</v>
      </c>
      <c r="AR94" s="54">
        <v>738</v>
      </c>
      <c r="AS94" s="55">
        <v>60.180000000000227</v>
      </c>
      <c r="AT94" s="87"/>
      <c r="AX94" s="54">
        <f t="shared" si="37"/>
        <v>0</v>
      </c>
      <c r="AY94" s="56">
        <f t="shared" si="38"/>
        <v>0.74829999999999908</v>
      </c>
      <c r="AZ94" s="57">
        <v>57.53</v>
      </c>
    </row>
    <row r="95" spans="43:52">
      <c r="AQ95" s="36">
        <f t="shared" si="36"/>
        <v>0</v>
      </c>
      <c r="AR95" s="54">
        <v>739</v>
      </c>
      <c r="AS95" s="55">
        <v>59.920000000000229</v>
      </c>
      <c r="AT95" s="87"/>
      <c r="AX95" s="54">
        <f t="shared" si="37"/>
        <v>0</v>
      </c>
      <c r="AY95" s="56">
        <f t="shared" si="38"/>
        <v>0.74839999999999907</v>
      </c>
      <c r="AZ95" s="57">
        <v>57.5</v>
      </c>
    </row>
    <row r="96" spans="43:52">
      <c r="AQ96" s="36">
        <f t="shared" si="36"/>
        <v>0</v>
      </c>
      <c r="AR96" s="54">
        <v>740</v>
      </c>
      <c r="AS96" s="55">
        <v>59.660000000000231</v>
      </c>
      <c r="AT96" s="87"/>
      <c r="AX96" s="54">
        <f t="shared" si="37"/>
        <v>0</v>
      </c>
      <c r="AY96" s="56">
        <f t="shared" si="38"/>
        <v>0.74849999999999905</v>
      </c>
      <c r="AZ96" s="57">
        <v>57.48</v>
      </c>
    </row>
    <row r="97" spans="43:52">
      <c r="AQ97" s="36">
        <f t="shared" si="36"/>
        <v>0</v>
      </c>
      <c r="AR97" s="54">
        <v>741</v>
      </c>
      <c r="AS97" s="55">
        <v>59.400000000000233</v>
      </c>
      <c r="AT97" s="87"/>
      <c r="AX97" s="54">
        <f t="shared" si="37"/>
        <v>0</v>
      </c>
      <c r="AY97" s="56">
        <f t="shared" si="38"/>
        <v>0.74859999999999904</v>
      </c>
      <c r="AZ97" s="57">
        <v>57.45</v>
      </c>
    </row>
    <row r="98" spans="43:52">
      <c r="AQ98" s="36">
        <f t="shared" si="36"/>
        <v>0</v>
      </c>
      <c r="AR98" s="54">
        <v>742</v>
      </c>
      <c r="AS98" s="55">
        <v>59.140000000000235</v>
      </c>
      <c r="AT98" s="87"/>
      <c r="AX98" s="54">
        <f t="shared" si="37"/>
        <v>0</v>
      </c>
      <c r="AY98" s="56">
        <f t="shared" si="38"/>
        <v>0.74869999999999903</v>
      </c>
      <c r="AZ98" s="57">
        <v>57.43</v>
      </c>
    </row>
    <row r="99" spans="43:52">
      <c r="AQ99" s="36">
        <f t="shared" si="36"/>
        <v>0</v>
      </c>
      <c r="AR99" s="54">
        <v>743</v>
      </c>
      <c r="AS99" s="55">
        <v>58.880000000000237</v>
      </c>
      <c r="AT99" s="87"/>
      <c r="AX99" s="54">
        <f t="shared" si="37"/>
        <v>0</v>
      </c>
      <c r="AY99" s="56">
        <f t="shared" si="38"/>
        <v>0.74879999999999902</v>
      </c>
      <c r="AZ99" s="57">
        <v>57.4</v>
      </c>
    </row>
    <row r="100" spans="43:52">
      <c r="AQ100" s="36">
        <f t="shared" si="36"/>
        <v>0</v>
      </c>
      <c r="AR100" s="54">
        <v>744</v>
      </c>
      <c r="AS100" s="55">
        <v>58.630000000000237</v>
      </c>
      <c r="AT100" s="87"/>
      <c r="AX100" s="54">
        <f t="shared" si="37"/>
        <v>0</v>
      </c>
      <c r="AY100" s="56">
        <f t="shared" si="38"/>
        <v>0.74889999999999901</v>
      </c>
      <c r="AZ100" s="57">
        <v>57.38</v>
      </c>
    </row>
    <row r="101" spans="43:52">
      <c r="AQ101" s="36">
        <f t="shared" si="36"/>
        <v>0</v>
      </c>
      <c r="AR101" s="54">
        <v>745</v>
      </c>
      <c r="AS101" s="55">
        <v>58.370000000000239</v>
      </c>
      <c r="AT101" s="87"/>
      <c r="AX101" s="54">
        <f t="shared" si="37"/>
        <v>0</v>
      </c>
      <c r="AY101" s="56">
        <f t="shared" si="38"/>
        <v>0.748999999999999</v>
      </c>
      <c r="AZ101" s="57">
        <v>57.35</v>
      </c>
    </row>
    <row r="102" spans="43:52">
      <c r="AQ102" s="36">
        <f t="shared" si="36"/>
        <v>0</v>
      </c>
      <c r="AR102" s="54">
        <v>746</v>
      </c>
      <c r="AS102" s="55">
        <v>58.120000000000239</v>
      </c>
      <c r="AT102" s="87"/>
      <c r="AX102" s="54">
        <f t="shared" si="37"/>
        <v>0</v>
      </c>
      <c r="AY102" s="56">
        <f t="shared" si="38"/>
        <v>0.74909999999999899</v>
      </c>
      <c r="AZ102" s="57">
        <v>57.33</v>
      </c>
    </row>
    <row r="103" spans="43:52">
      <c r="AQ103" s="36">
        <f t="shared" si="36"/>
        <v>0</v>
      </c>
      <c r="AR103" s="54">
        <v>747</v>
      </c>
      <c r="AS103" s="55">
        <v>57.860000000000241</v>
      </c>
      <c r="AT103" s="87"/>
      <c r="AX103" s="54">
        <f t="shared" si="37"/>
        <v>0</v>
      </c>
      <c r="AY103" s="56">
        <f t="shared" si="38"/>
        <v>0.74919999999999898</v>
      </c>
      <c r="AZ103" s="57">
        <v>57.3</v>
      </c>
    </row>
    <row r="104" spans="43:52">
      <c r="AQ104" s="36">
        <f t="shared" si="36"/>
        <v>0</v>
      </c>
      <c r="AR104" s="54">
        <v>748</v>
      </c>
      <c r="AS104" s="55">
        <v>57.610000000000241</v>
      </c>
      <c r="AT104" s="87"/>
      <c r="AX104" s="54">
        <f t="shared" si="37"/>
        <v>0</v>
      </c>
      <c r="AY104" s="56">
        <f t="shared" si="38"/>
        <v>0.74929999999999897</v>
      </c>
      <c r="AZ104" s="57">
        <v>57.28</v>
      </c>
    </row>
    <row r="105" spans="43:52">
      <c r="AQ105" s="36">
        <f t="shared" si="36"/>
        <v>0</v>
      </c>
      <c r="AR105" s="54">
        <v>749</v>
      </c>
      <c r="AS105" s="55">
        <v>57.360000000000241</v>
      </c>
      <c r="AT105" s="87"/>
      <c r="AX105" s="54">
        <f t="shared" si="37"/>
        <v>0</v>
      </c>
      <c r="AY105" s="56">
        <f t="shared" si="38"/>
        <v>0.74939999999999896</v>
      </c>
      <c r="AZ105" s="57">
        <v>57.25</v>
      </c>
    </row>
    <row r="106" spans="43:52">
      <c r="AQ106" s="36">
        <f t="shared" si="36"/>
        <v>0</v>
      </c>
      <c r="AR106" s="54">
        <v>750</v>
      </c>
      <c r="AS106" s="55">
        <v>57.110000000000241</v>
      </c>
      <c r="AT106" s="87"/>
      <c r="AX106" s="54">
        <f t="shared" si="37"/>
        <v>0</v>
      </c>
      <c r="AY106" s="56">
        <f t="shared" si="38"/>
        <v>0.74949999999999894</v>
      </c>
      <c r="AZ106" s="57">
        <v>57.23</v>
      </c>
    </row>
    <row r="107" spans="43:52">
      <c r="AQ107" s="36">
        <f t="shared" si="36"/>
        <v>0</v>
      </c>
      <c r="AR107" s="54">
        <v>751</v>
      </c>
      <c r="AS107" s="55">
        <v>56.850000000000243</v>
      </c>
      <c r="AT107" s="87"/>
      <c r="AX107" s="54">
        <f t="shared" si="37"/>
        <v>0</v>
      </c>
      <c r="AY107" s="56">
        <f t="shared" si="38"/>
        <v>0.74959999999999893</v>
      </c>
      <c r="AZ107" s="57">
        <v>57.2</v>
      </c>
    </row>
    <row r="108" spans="43:52">
      <c r="AQ108" s="36">
        <f t="shared" si="36"/>
        <v>0</v>
      </c>
      <c r="AR108" s="54">
        <v>752</v>
      </c>
      <c r="AS108" s="55">
        <v>56.600000000000243</v>
      </c>
      <c r="AT108" s="87"/>
      <c r="AX108" s="54">
        <f t="shared" si="37"/>
        <v>0</v>
      </c>
      <c r="AY108" s="56">
        <f t="shared" si="38"/>
        <v>0.74969999999999892</v>
      </c>
      <c r="AZ108" s="57">
        <v>57.18</v>
      </c>
    </row>
    <row r="109" spans="43:52">
      <c r="AQ109" s="36">
        <f t="shared" si="36"/>
        <v>0</v>
      </c>
      <c r="AR109" s="54">
        <v>753</v>
      </c>
      <c r="AS109" s="55">
        <v>56.350000000000243</v>
      </c>
      <c r="AT109" s="87"/>
      <c r="AX109" s="54">
        <f t="shared" si="37"/>
        <v>0</v>
      </c>
      <c r="AY109" s="56">
        <f t="shared" si="38"/>
        <v>0.74979999999999891</v>
      </c>
      <c r="AZ109" s="57">
        <v>57.15</v>
      </c>
    </row>
    <row r="110" spans="43:52">
      <c r="AQ110" s="36">
        <f t="shared" si="36"/>
        <v>0</v>
      </c>
      <c r="AR110" s="54">
        <v>754</v>
      </c>
      <c r="AS110" s="55">
        <v>56.100000000000243</v>
      </c>
      <c r="AT110" s="87"/>
      <c r="AX110" s="54">
        <f t="shared" si="37"/>
        <v>0</v>
      </c>
      <c r="AY110" s="56">
        <f t="shared" si="38"/>
        <v>0.7498999999999989</v>
      </c>
      <c r="AZ110" s="57">
        <v>57.13</v>
      </c>
    </row>
    <row r="111" spans="43:52">
      <c r="AQ111" s="36">
        <f t="shared" si="36"/>
        <v>0</v>
      </c>
      <c r="AR111" s="54">
        <v>755</v>
      </c>
      <c r="AS111" s="55">
        <v>55.860000000000248</v>
      </c>
      <c r="AT111" s="87"/>
      <c r="AX111" s="54">
        <f t="shared" si="37"/>
        <v>0</v>
      </c>
      <c r="AY111" s="56">
        <f t="shared" si="38"/>
        <v>0.74999999999999889</v>
      </c>
      <c r="AZ111" s="57">
        <v>57.1</v>
      </c>
    </row>
    <row r="112" spans="43:52">
      <c r="AQ112" s="36">
        <f t="shared" si="36"/>
        <v>0</v>
      </c>
      <c r="AR112" s="54">
        <v>756</v>
      </c>
      <c r="AS112" s="55">
        <v>55.610000000000248</v>
      </c>
      <c r="AT112" s="87"/>
      <c r="AX112" s="54">
        <f t="shared" si="37"/>
        <v>0</v>
      </c>
      <c r="AY112" s="56">
        <f t="shared" si="38"/>
        <v>0.75009999999999888</v>
      </c>
      <c r="AZ112" s="57">
        <v>57.08</v>
      </c>
    </row>
    <row r="113" spans="43:52">
      <c r="AQ113" s="36">
        <f t="shared" si="36"/>
        <v>0</v>
      </c>
      <c r="AR113" s="54">
        <v>757</v>
      </c>
      <c r="AS113" s="55">
        <v>55.360000000000248</v>
      </c>
      <c r="AT113" s="87"/>
      <c r="AX113" s="54">
        <f t="shared" si="37"/>
        <v>0</v>
      </c>
      <c r="AY113" s="56">
        <f t="shared" si="38"/>
        <v>0.75019999999999887</v>
      </c>
      <c r="AZ113" s="57">
        <v>57.05</v>
      </c>
    </row>
    <row r="114" spans="43:52">
      <c r="AQ114" s="36">
        <f t="shared" si="36"/>
        <v>0</v>
      </c>
      <c r="AR114" s="54">
        <v>758</v>
      </c>
      <c r="AS114" s="55">
        <v>55.110000000000248</v>
      </c>
      <c r="AT114" s="87"/>
      <c r="AX114" s="54">
        <f t="shared" si="37"/>
        <v>0</v>
      </c>
      <c r="AY114" s="56">
        <f t="shared" si="38"/>
        <v>0.75029999999999886</v>
      </c>
      <c r="AZ114" s="57">
        <v>57.03</v>
      </c>
    </row>
    <row r="115" spans="43:52">
      <c r="AQ115" s="36">
        <f t="shared" si="36"/>
        <v>0</v>
      </c>
      <c r="AR115" s="54">
        <v>759</v>
      </c>
      <c r="AS115" s="55">
        <v>54.870000000000253</v>
      </c>
      <c r="AT115" s="87"/>
      <c r="AX115" s="54">
        <f t="shared" si="37"/>
        <v>0</v>
      </c>
      <c r="AY115" s="56">
        <f t="shared" si="38"/>
        <v>0.75039999999999885</v>
      </c>
      <c r="AZ115" s="57">
        <v>57</v>
      </c>
    </row>
    <row r="116" spans="43:52">
      <c r="AQ116" s="36">
        <f t="shared" si="36"/>
        <v>0</v>
      </c>
      <c r="AR116" s="54">
        <v>760</v>
      </c>
      <c r="AS116" s="55">
        <v>54.620000000000253</v>
      </c>
      <c r="AT116" s="87"/>
      <c r="AX116" s="54">
        <f t="shared" si="37"/>
        <v>0</v>
      </c>
      <c r="AY116" s="56">
        <f t="shared" si="38"/>
        <v>0.75049999999999883</v>
      </c>
      <c r="AZ116" s="57">
        <v>56.98</v>
      </c>
    </row>
    <row r="117" spans="43:52">
      <c r="AQ117" s="36">
        <f t="shared" si="36"/>
        <v>0</v>
      </c>
      <c r="AR117" s="54">
        <v>761</v>
      </c>
      <c r="AS117" s="55">
        <v>54.380000000000258</v>
      </c>
      <c r="AT117" s="87"/>
      <c r="AX117" s="54">
        <f t="shared" si="37"/>
        <v>0</v>
      </c>
      <c r="AY117" s="56">
        <f t="shared" si="38"/>
        <v>0.75059999999999882</v>
      </c>
      <c r="AZ117" s="57">
        <v>56.95</v>
      </c>
    </row>
    <row r="118" spans="43:52">
      <c r="AQ118" s="36">
        <f t="shared" si="36"/>
        <v>0</v>
      </c>
      <c r="AR118" s="54">
        <v>762</v>
      </c>
      <c r="AS118" s="55">
        <v>54.130000000000258</v>
      </c>
      <c r="AT118" s="87"/>
      <c r="AX118" s="54">
        <f t="shared" si="37"/>
        <v>0</v>
      </c>
      <c r="AY118" s="56">
        <f t="shared" si="38"/>
        <v>0.75069999999999881</v>
      </c>
      <c r="AZ118" s="57">
        <v>56.93</v>
      </c>
    </row>
    <row r="119" spans="43:52">
      <c r="AQ119" s="36">
        <f t="shared" si="36"/>
        <v>0</v>
      </c>
      <c r="AR119" s="54">
        <v>763</v>
      </c>
      <c r="AS119" s="55">
        <v>53.890000000000263</v>
      </c>
      <c r="AT119" s="87"/>
      <c r="AX119" s="54">
        <f t="shared" si="37"/>
        <v>0</v>
      </c>
      <c r="AY119" s="56">
        <f t="shared" si="38"/>
        <v>0.7507999999999988</v>
      </c>
      <c r="AZ119" s="57">
        <v>56.9</v>
      </c>
    </row>
    <row r="120" spans="43:52">
      <c r="AQ120" s="36">
        <f t="shared" si="36"/>
        <v>0</v>
      </c>
      <c r="AR120" s="54">
        <v>764</v>
      </c>
      <c r="AS120" s="55">
        <v>53.650000000000269</v>
      </c>
      <c r="AT120" s="87"/>
      <c r="AX120" s="54">
        <f t="shared" si="37"/>
        <v>0</v>
      </c>
      <c r="AY120" s="56">
        <f t="shared" si="38"/>
        <v>0.75089999999999879</v>
      </c>
      <c r="AZ120" s="57">
        <v>56.88</v>
      </c>
    </row>
    <row r="121" spans="43:52">
      <c r="AQ121" s="36">
        <f t="shared" si="36"/>
        <v>0</v>
      </c>
      <c r="AR121" s="54">
        <v>765</v>
      </c>
      <c r="AS121" s="55">
        <v>53.400000000000269</v>
      </c>
      <c r="AT121" s="87"/>
      <c r="AX121" s="54">
        <f t="shared" si="37"/>
        <v>0</v>
      </c>
      <c r="AY121" s="56">
        <f t="shared" si="38"/>
        <v>0.75099999999999878</v>
      </c>
      <c r="AZ121" s="57">
        <v>56.85</v>
      </c>
    </row>
    <row r="122" spans="43:52">
      <c r="AQ122" s="36">
        <f t="shared" si="36"/>
        <v>0</v>
      </c>
      <c r="AR122" s="54">
        <v>766</v>
      </c>
      <c r="AS122" s="55">
        <v>53.160000000000274</v>
      </c>
      <c r="AT122" s="87"/>
      <c r="AX122" s="54">
        <f t="shared" si="37"/>
        <v>0</v>
      </c>
      <c r="AY122" s="56">
        <f t="shared" si="38"/>
        <v>0.75109999999999877</v>
      </c>
      <c r="AZ122" s="57">
        <v>56.83</v>
      </c>
    </row>
    <row r="123" spans="43:52">
      <c r="AQ123" s="36">
        <f t="shared" si="36"/>
        <v>0</v>
      </c>
      <c r="AR123" s="54">
        <v>767</v>
      </c>
      <c r="AS123" s="55">
        <v>52.920000000000279</v>
      </c>
      <c r="AT123" s="87"/>
      <c r="AX123" s="54">
        <f t="shared" si="37"/>
        <v>0</v>
      </c>
      <c r="AY123" s="56">
        <f t="shared" si="38"/>
        <v>0.75119999999999876</v>
      </c>
      <c r="AZ123" s="57">
        <v>56.8</v>
      </c>
    </row>
    <row r="124" spans="43:52">
      <c r="AQ124" s="36">
        <f t="shared" si="36"/>
        <v>0</v>
      </c>
      <c r="AR124" s="54">
        <v>768</v>
      </c>
      <c r="AS124" s="55">
        <v>52.680000000000284</v>
      </c>
      <c r="AT124" s="87"/>
      <c r="AX124" s="54">
        <f t="shared" si="37"/>
        <v>0</v>
      </c>
      <c r="AY124" s="56">
        <f t="shared" si="38"/>
        <v>0.75129999999999875</v>
      </c>
      <c r="AZ124" s="57">
        <v>56.78</v>
      </c>
    </row>
    <row r="125" spans="43:52">
      <c r="AQ125" s="36">
        <f t="shared" si="36"/>
        <v>0</v>
      </c>
      <c r="AR125" s="54">
        <v>769</v>
      </c>
      <c r="AS125" s="55">
        <v>52.440000000000289</v>
      </c>
      <c r="AT125" s="87"/>
      <c r="AX125" s="54">
        <f t="shared" si="37"/>
        <v>0</v>
      </c>
      <c r="AY125" s="56">
        <f t="shared" si="38"/>
        <v>0.75139999999999874</v>
      </c>
      <c r="AZ125" s="57">
        <v>56.75</v>
      </c>
    </row>
    <row r="126" spans="43:52">
      <c r="AQ126" s="36">
        <f t="shared" si="36"/>
        <v>0</v>
      </c>
      <c r="AR126" s="54">
        <v>770</v>
      </c>
      <c r="AS126" s="55">
        <v>52.200000000000294</v>
      </c>
      <c r="AT126" s="87"/>
      <c r="AX126" s="54">
        <f t="shared" si="37"/>
        <v>0</v>
      </c>
      <c r="AY126" s="56">
        <f t="shared" si="38"/>
        <v>0.75149999999999872</v>
      </c>
      <c r="AZ126" s="57">
        <v>56.73</v>
      </c>
    </row>
    <row r="127" spans="43:52">
      <c r="AQ127" s="36">
        <f t="shared" si="36"/>
        <v>0</v>
      </c>
      <c r="AR127" s="54">
        <v>771</v>
      </c>
      <c r="AS127" s="55">
        <v>51.960000000000299</v>
      </c>
      <c r="AT127" s="87"/>
      <c r="AX127" s="54">
        <f t="shared" si="37"/>
        <v>0</v>
      </c>
      <c r="AY127" s="56">
        <f t="shared" si="38"/>
        <v>0.75159999999999871</v>
      </c>
      <c r="AZ127" s="57">
        <v>56.7</v>
      </c>
    </row>
    <row r="128" spans="43:52">
      <c r="AQ128" s="36">
        <f t="shared" si="36"/>
        <v>0</v>
      </c>
      <c r="AR128" s="54">
        <v>772</v>
      </c>
      <c r="AS128" s="55">
        <v>51.720000000000304</v>
      </c>
      <c r="AT128" s="87"/>
      <c r="AX128" s="54">
        <f t="shared" si="37"/>
        <v>0</v>
      </c>
      <c r="AY128" s="56">
        <f t="shared" si="38"/>
        <v>0.7516999999999987</v>
      </c>
      <c r="AZ128" s="57">
        <v>56.68</v>
      </c>
    </row>
    <row r="129" spans="43:52">
      <c r="AQ129" s="36">
        <f t="shared" si="36"/>
        <v>0</v>
      </c>
      <c r="AR129" s="54">
        <v>773</v>
      </c>
      <c r="AS129" s="55">
        <v>51.490000000000308</v>
      </c>
      <c r="AT129" s="87"/>
      <c r="AX129" s="54">
        <f t="shared" si="37"/>
        <v>0</v>
      </c>
      <c r="AY129" s="56">
        <f t="shared" si="38"/>
        <v>0.75179999999999869</v>
      </c>
      <c r="AZ129" s="57">
        <v>56.65</v>
      </c>
    </row>
    <row r="130" spans="43:52">
      <c r="AQ130" s="36">
        <f t="shared" si="36"/>
        <v>0</v>
      </c>
      <c r="AR130" s="54">
        <v>774</v>
      </c>
      <c r="AS130" s="55">
        <v>51.250000000000313</v>
      </c>
      <c r="AT130" s="87"/>
      <c r="AX130" s="54">
        <f t="shared" si="37"/>
        <v>0</v>
      </c>
      <c r="AY130" s="56">
        <f t="shared" si="38"/>
        <v>0.75189999999999868</v>
      </c>
      <c r="AZ130" s="57">
        <v>56.63</v>
      </c>
    </row>
    <row r="131" spans="43:52">
      <c r="AQ131" s="36">
        <f t="shared" si="36"/>
        <v>0</v>
      </c>
      <c r="AR131" s="54">
        <v>775</v>
      </c>
      <c r="AS131" s="55">
        <v>51.010000000000318</v>
      </c>
      <c r="AT131" s="87"/>
      <c r="AX131" s="54">
        <f t="shared" si="37"/>
        <v>0</v>
      </c>
      <c r="AY131" s="56">
        <f t="shared" si="38"/>
        <v>0.75199999999999867</v>
      </c>
      <c r="AZ131" s="57">
        <v>56.6</v>
      </c>
    </row>
    <row r="132" spans="43:52">
      <c r="AQ132" s="36">
        <f t="shared" si="36"/>
        <v>0</v>
      </c>
      <c r="AR132" s="54">
        <v>776</v>
      </c>
      <c r="AS132" s="55">
        <v>50.780000000000321</v>
      </c>
      <c r="AT132" s="87"/>
      <c r="AX132" s="54">
        <f t="shared" si="37"/>
        <v>0</v>
      </c>
      <c r="AY132" s="56">
        <f t="shared" si="38"/>
        <v>0.75209999999999866</v>
      </c>
      <c r="AZ132" s="57">
        <v>56.58</v>
      </c>
    </row>
    <row r="133" spans="43:52">
      <c r="AQ133" s="36">
        <f t="shared" si="36"/>
        <v>0</v>
      </c>
      <c r="AR133" s="54">
        <v>777</v>
      </c>
      <c r="AS133" s="55">
        <v>50.540000000000326</v>
      </c>
      <c r="AT133" s="87"/>
      <c r="AX133" s="54">
        <f t="shared" si="37"/>
        <v>0</v>
      </c>
      <c r="AY133" s="56">
        <f t="shared" si="38"/>
        <v>0.75219999999999865</v>
      </c>
      <c r="AZ133" s="57">
        <v>56.55</v>
      </c>
    </row>
    <row r="134" spans="43:52">
      <c r="AQ134" s="36">
        <f t="shared" si="36"/>
        <v>0</v>
      </c>
      <c r="AR134" s="54">
        <v>778</v>
      </c>
      <c r="AS134" s="55">
        <v>50.300000000000331</v>
      </c>
      <c r="AT134" s="87"/>
      <c r="AX134" s="54">
        <f t="shared" si="37"/>
        <v>0</v>
      </c>
      <c r="AY134" s="56">
        <f t="shared" si="38"/>
        <v>0.75229999999999864</v>
      </c>
      <c r="AZ134" s="57">
        <v>56.53</v>
      </c>
    </row>
    <row r="135" spans="43:52">
      <c r="AQ135" s="36">
        <f t="shared" si="36"/>
        <v>0</v>
      </c>
      <c r="AR135" s="54">
        <v>779</v>
      </c>
      <c r="AS135" s="55">
        <v>50.070000000000334</v>
      </c>
      <c r="AT135" s="87"/>
      <c r="AX135" s="54">
        <f t="shared" si="37"/>
        <v>0</v>
      </c>
      <c r="AY135" s="56">
        <f t="shared" si="38"/>
        <v>0.75239999999999863</v>
      </c>
      <c r="AZ135" s="57">
        <v>56.5</v>
      </c>
    </row>
    <row r="136" spans="43:52">
      <c r="AQ136" s="36">
        <f t="shared" si="36"/>
        <v>0</v>
      </c>
      <c r="AR136" s="54">
        <v>780</v>
      </c>
      <c r="AS136" s="55">
        <v>49.840000000000337</v>
      </c>
      <c r="AT136" s="87"/>
      <c r="AX136" s="54">
        <f t="shared" si="37"/>
        <v>0</v>
      </c>
      <c r="AY136" s="56">
        <f t="shared" si="38"/>
        <v>0.75249999999999861</v>
      </c>
      <c r="AZ136" s="57">
        <v>56.48</v>
      </c>
    </row>
    <row r="137" spans="43:52">
      <c r="AQ137" s="36">
        <f t="shared" si="36"/>
        <v>0</v>
      </c>
      <c r="AR137" s="54">
        <v>781</v>
      </c>
      <c r="AS137" s="55">
        <v>49.600000000000342</v>
      </c>
      <c r="AT137" s="87"/>
      <c r="AX137" s="54">
        <f t="shared" si="37"/>
        <v>0</v>
      </c>
      <c r="AY137" s="56">
        <f t="shared" si="38"/>
        <v>0.7525999999999986</v>
      </c>
      <c r="AZ137" s="57">
        <v>56.45</v>
      </c>
    </row>
    <row r="138" spans="43:52">
      <c r="AQ138" s="36">
        <f t="shared" si="36"/>
        <v>0</v>
      </c>
      <c r="AR138" s="54">
        <v>782</v>
      </c>
      <c r="AS138" s="55">
        <v>49.370000000000346</v>
      </c>
      <c r="AT138" s="87"/>
      <c r="AX138" s="54">
        <f t="shared" si="37"/>
        <v>0</v>
      </c>
      <c r="AY138" s="56">
        <f t="shared" si="38"/>
        <v>0.75269999999999859</v>
      </c>
      <c r="AZ138" s="57">
        <v>56.43</v>
      </c>
    </row>
    <row r="139" spans="43:52">
      <c r="AQ139" s="36">
        <f t="shared" ref="AQ139:AQ202" si="39">IF(AND(($AJ$12*1000)&gt;0,($AJ$12*1000)&gt;AR139,($AJ$12*1000)&lt;AR140),AS139-ROUND((((($AJ$12*1000)-AR139)*ABS(AS139-AS140))/ABS(AR139-AR140)),2),IF(($AJ$12*1000)=AR139,AS139,0))</f>
        <v>0</v>
      </c>
      <c r="AR139" s="54">
        <v>783</v>
      </c>
      <c r="AS139" s="55">
        <v>49.140000000000349</v>
      </c>
      <c r="AT139" s="87"/>
      <c r="AX139" s="54">
        <f t="shared" ref="AX139:AX202" si="40">IF(AND(($AJ$12)&gt;0,($AJ$12)&gt;AY139,($AJ$12)&lt;AY140),AZ139-ROUND((((($AJ$12)-AY139)*ABS(AZ139-AZ140))/ABS(AY139-AY140)),2),IF(($AJ$12)=AY139,AZ139,0))</f>
        <v>0</v>
      </c>
      <c r="AY139" s="56">
        <f t="shared" si="38"/>
        <v>0.75279999999999858</v>
      </c>
      <c r="AZ139" s="57">
        <v>56.4</v>
      </c>
    </row>
    <row r="140" spans="43:52">
      <c r="AQ140" s="36">
        <f t="shared" si="39"/>
        <v>0</v>
      </c>
      <c r="AR140" s="54">
        <v>784</v>
      </c>
      <c r="AS140" s="55">
        <v>48.910000000000352</v>
      </c>
      <c r="AT140" s="87"/>
      <c r="AX140" s="54">
        <f t="shared" si="40"/>
        <v>0</v>
      </c>
      <c r="AY140" s="56">
        <f t="shared" ref="AY140:AY203" si="41">AY139+0.0001</f>
        <v>0.75289999999999857</v>
      </c>
      <c r="AZ140" s="57">
        <v>56.38</v>
      </c>
    </row>
    <row r="141" spans="43:52">
      <c r="AQ141" s="36">
        <f t="shared" si="39"/>
        <v>0</v>
      </c>
      <c r="AR141" s="54">
        <v>785</v>
      </c>
      <c r="AS141" s="55">
        <v>48.680000000000355</v>
      </c>
      <c r="AT141" s="87"/>
      <c r="AX141" s="54">
        <f t="shared" si="40"/>
        <v>0</v>
      </c>
      <c r="AY141" s="56">
        <f t="shared" si="41"/>
        <v>0.75299999999999856</v>
      </c>
      <c r="AZ141" s="57">
        <v>56.35</v>
      </c>
    </row>
    <row r="142" spans="43:52">
      <c r="AQ142" s="36">
        <f t="shared" si="39"/>
        <v>0</v>
      </c>
      <c r="AR142" s="54">
        <v>786</v>
      </c>
      <c r="AS142" s="55">
        <v>48.450000000000358</v>
      </c>
      <c r="AT142" s="87"/>
      <c r="AX142" s="54">
        <f t="shared" si="40"/>
        <v>0</v>
      </c>
      <c r="AY142" s="56">
        <f t="shared" si="41"/>
        <v>0.75309999999999855</v>
      </c>
      <c r="AZ142" s="57">
        <v>56.33</v>
      </c>
    </row>
    <row r="143" spans="43:52">
      <c r="AQ143" s="36">
        <f t="shared" si="39"/>
        <v>0</v>
      </c>
      <c r="AR143" s="54">
        <v>787</v>
      </c>
      <c r="AS143" s="55">
        <v>48.220000000000361</v>
      </c>
      <c r="AT143" s="87"/>
      <c r="AX143" s="54">
        <f t="shared" si="40"/>
        <v>0</v>
      </c>
      <c r="AY143" s="56">
        <f t="shared" si="41"/>
        <v>0.75319999999999854</v>
      </c>
      <c r="AZ143" s="57">
        <v>56.3</v>
      </c>
    </row>
    <row r="144" spans="43:52">
      <c r="AQ144" s="36">
        <f t="shared" si="39"/>
        <v>0</v>
      </c>
      <c r="AR144" s="54">
        <v>788</v>
      </c>
      <c r="AS144" s="55">
        <v>47.990000000000364</v>
      </c>
      <c r="AT144" s="87"/>
      <c r="AX144" s="54">
        <f t="shared" si="40"/>
        <v>0</v>
      </c>
      <c r="AY144" s="56">
        <f t="shared" si="41"/>
        <v>0.75329999999999853</v>
      </c>
      <c r="AZ144" s="57">
        <v>56.28</v>
      </c>
    </row>
    <row r="145" spans="43:52">
      <c r="AQ145" s="36">
        <f t="shared" si="39"/>
        <v>0</v>
      </c>
      <c r="AR145" s="54">
        <v>789</v>
      </c>
      <c r="AS145" s="55">
        <v>47.760000000000367</v>
      </c>
      <c r="AT145" s="87"/>
      <c r="AX145" s="54">
        <f t="shared" si="40"/>
        <v>0</v>
      </c>
      <c r="AY145" s="56">
        <f t="shared" si="41"/>
        <v>0.75339999999999852</v>
      </c>
      <c r="AZ145" s="57">
        <v>56.25</v>
      </c>
    </row>
    <row r="146" spans="43:52">
      <c r="AQ146" s="36">
        <f t="shared" si="39"/>
        <v>0</v>
      </c>
      <c r="AR146" s="54">
        <v>790</v>
      </c>
      <c r="AS146" s="55">
        <v>47.530000000000371</v>
      </c>
      <c r="AT146" s="87"/>
      <c r="AX146" s="54">
        <f t="shared" si="40"/>
        <v>0</v>
      </c>
      <c r="AY146" s="56">
        <f t="shared" si="41"/>
        <v>0.7534999999999985</v>
      </c>
      <c r="AZ146" s="57">
        <v>56.23</v>
      </c>
    </row>
    <row r="147" spans="43:52">
      <c r="AQ147" s="36">
        <f t="shared" si="39"/>
        <v>0</v>
      </c>
      <c r="AR147" s="54">
        <v>791</v>
      </c>
      <c r="AS147" s="55">
        <v>47.310000000000372</v>
      </c>
      <c r="AT147" s="87"/>
      <c r="AX147" s="54">
        <f t="shared" si="40"/>
        <v>0</v>
      </c>
      <c r="AY147" s="56">
        <f t="shared" si="41"/>
        <v>0.75359999999999849</v>
      </c>
      <c r="AZ147" s="57">
        <v>56.2</v>
      </c>
    </row>
    <row r="148" spans="43:52">
      <c r="AQ148" s="36">
        <f t="shared" si="39"/>
        <v>0</v>
      </c>
      <c r="AR148" s="54">
        <v>792</v>
      </c>
      <c r="AS148" s="55">
        <v>47.080000000000375</v>
      </c>
      <c r="AT148" s="87"/>
      <c r="AX148" s="54">
        <f t="shared" si="40"/>
        <v>0</v>
      </c>
      <c r="AY148" s="56">
        <f t="shared" si="41"/>
        <v>0.75369999999999848</v>
      </c>
      <c r="AZ148" s="57">
        <v>56.18</v>
      </c>
    </row>
    <row r="149" spans="43:52">
      <c r="AQ149" s="36">
        <f t="shared" si="39"/>
        <v>0</v>
      </c>
      <c r="AR149" s="54">
        <v>793</v>
      </c>
      <c r="AS149" s="55">
        <v>46.850000000000378</v>
      </c>
      <c r="AT149" s="87"/>
      <c r="AX149" s="54">
        <f t="shared" si="40"/>
        <v>0</v>
      </c>
      <c r="AY149" s="56">
        <f t="shared" si="41"/>
        <v>0.75379999999999847</v>
      </c>
      <c r="AZ149" s="57">
        <v>56.15</v>
      </c>
    </row>
    <row r="150" spans="43:52">
      <c r="AQ150" s="36">
        <f t="shared" si="39"/>
        <v>0</v>
      </c>
      <c r="AR150" s="54">
        <v>794</v>
      </c>
      <c r="AS150" s="55">
        <v>46.630000000000379</v>
      </c>
      <c r="AT150" s="87"/>
      <c r="AX150" s="54">
        <f t="shared" si="40"/>
        <v>0</v>
      </c>
      <c r="AY150" s="56">
        <f t="shared" si="41"/>
        <v>0.75389999999999846</v>
      </c>
      <c r="AZ150" s="57">
        <v>56.13</v>
      </c>
    </row>
    <row r="151" spans="43:52">
      <c r="AQ151" s="36">
        <f t="shared" si="39"/>
        <v>0</v>
      </c>
      <c r="AR151" s="54">
        <v>795</v>
      </c>
      <c r="AS151" s="55">
        <v>46.400000000000382</v>
      </c>
      <c r="AT151" s="87"/>
      <c r="AX151" s="54">
        <f t="shared" si="40"/>
        <v>0</v>
      </c>
      <c r="AY151" s="56">
        <f t="shared" si="41"/>
        <v>0.75399999999999845</v>
      </c>
      <c r="AZ151" s="57">
        <v>56.1</v>
      </c>
    </row>
    <row r="152" spans="43:52">
      <c r="AQ152" s="36">
        <f t="shared" si="39"/>
        <v>0</v>
      </c>
      <c r="AR152" s="54">
        <v>796</v>
      </c>
      <c r="AS152" s="55">
        <v>46.180000000000383</v>
      </c>
      <c r="AT152" s="87"/>
      <c r="AX152" s="54">
        <f t="shared" si="40"/>
        <v>0</v>
      </c>
      <c r="AY152" s="56">
        <f t="shared" si="41"/>
        <v>0.75409999999999844</v>
      </c>
      <c r="AZ152" s="57">
        <v>56.08</v>
      </c>
    </row>
    <row r="153" spans="43:52">
      <c r="AQ153" s="36">
        <f t="shared" si="39"/>
        <v>0</v>
      </c>
      <c r="AR153" s="54">
        <v>797</v>
      </c>
      <c r="AS153" s="55">
        <v>45.960000000000385</v>
      </c>
      <c r="AT153" s="87"/>
      <c r="AX153" s="54">
        <f t="shared" si="40"/>
        <v>0</v>
      </c>
      <c r="AY153" s="56">
        <f t="shared" si="41"/>
        <v>0.75419999999999843</v>
      </c>
      <c r="AZ153" s="57">
        <v>56.05</v>
      </c>
    </row>
    <row r="154" spans="43:52">
      <c r="AQ154" s="36">
        <f t="shared" si="39"/>
        <v>0</v>
      </c>
      <c r="AR154" s="54">
        <v>798</v>
      </c>
      <c r="AS154" s="55">
        <v>45.740000000000386</v>
      </c>
      <c r="AT154" s="87"/>
      <c r="AX154" s="54">
        <f t="shared" si="40"/>
        <v>0</v>
      </c>
      <c r="AY154" s="56">
        <f t="shared" si="41"/>
        <v>0.75429999999999842</v>
      </c>
      <c r="AZ154" s="57">
        <v>56.03</v>
      </c>
    </row>
    <row r="155" spans="43:52">
      <c r="AQ155" s="36">
        <f t="shared" si="39"/>
        <v>0</v>
      </c>
      <c r="AR155" s="54">
        <v>799</v>
      </c>
      <c r="AS155" s="55">
        <v>45.510000000000389</v>
      </c>
      <c r="AT155" s="87"/>
      <c r="AX155" s="54">
        <f t="shared" si="40"/>
        <v>0</v>
      </c>
      <c r="AY155" s="56">
        <f t="shared" si="41"/>
        <v>0.75439999999999841</v>
      </c>
      <c r="AZ155" s="57">
        <v>56</v>
      </c>
    </row>
    <row r="156" spans="43:52">
      <c r="AQ156" s="36">
        <f t="shared" si="39"/>
        <v>0</v>
      </c>
      <c r="AR156" s="54">
        <v>800</v>
      </c>
      <c r="AS156" s="55">
        <v>45.29000000000039</v>
      </c>
      <c r="AT156" s="87"/>
      <c r="AX156" s="54">
        <f t="shared" si="40"/>
        <v>0</v>
      </c>
      <c r="AY156" s="56">
        <f t="shared" si="41"/>
        <v>0.75449999999999839</v>
      </c>
      <c r="AZ156" s="57">
        <v>55.98</v>
      </c>
    </row>
    <row r="157" spans="43:52">
      <c r="AQ157" s="36">
        <f t="shared" si="39"/>
        <v>0</v>
      </c>
      <c r="AR157" s="54">
        <v>801</v>
      </c>
      <c r="AS157" s="55">
        <v>45.070000000000391</v>
      </c>
      <c r="AT157" s="87"/>
      <c r="AX157" s="54">
        <f t="shared" si="40"/>
        <v>0</v>
      </c>
      <c r="AY157" s="56">
        <f t="shared" si="41"/>
        <v>0.75459999999999838</v>
      </c>
      <c r="AZ157" s="57">
        <v>55.95</v>
      </c>
    </row>
    <row r="158" spans="43:52">
      <c r="AQ158" s="36">
        <f t="shared" si="39"/>
        <v>0</v>
      </c>
      <c r="AR158" s="54">
        <v>802</v>
      </c>
      <c r="AS158" s="55">
        <v>44.850000000000392</v>
      </c>
      <c r="AT158" s="87"/>
      <c r="AX158" s="54">
        <f t="shared" si="40"/>
        <v>0</v>
      </c>
      <c r="AY158" s="56">
        <f t="shared" si="41"/>
        <v>0.75469999999999837</v>
      </c>
      <c r="AZ158" s="57">
        <v>55.93</v>
      </c>
    </row>
    <row r="159" spans="43:52">
      <c r="AQ159" s="36">
        <f t="shared" si="39"/>
        <v>0</v>
      </c>
      <c r="AR159" s="54">
        <v>803</v>
      </c>
      <c r="AS159" s="55">
        <v>44.630000000000393</v>
      </c>
      <c r="AT159" s="87"/>
      <c r="AX159" s="54">
        <f t="shared" si="40"/>
        <v>0</v>
      </c>
      <c r="AY159" s="56">
        <f t="shared" si="41"/>
        <v>0.75479999999999836</v>
      </c>
      <c r="AZ159" s="57">
        <v>55.9</v>
      </c>
    </row>
    <row r="160" spans="43:52">
      <c r="AQ160" s="36">
        <f t="shared" si="39"/>
        <v>0</v>
      </c>
      <c r="AR160" s="54">
        <v>804</v>
      </c>
      <c r="AS160" s="55">
        <v>44.410000000000394</v>
      </c>
      <c r="AT160" s="87"/>
      <c r="AX160" s="54">
        <f t="shared" si="40"/>
        <v>0</v>
      </c>
      <c r="AY160" s="56">
        <f t="shared" si="41"/>
        <v>0.75489999999999835</v>
      </c>
      <c r="AZ160" s="57">
        <v>55.88</v>
      </c>
    </row>
    <row r="161" spans="43:52">
      <c r="AQ161" s="36">
        <f t="shared" si="39"/>
        <v>0</v>
      </c>
      <c r="AR161" s="54">
        <v>805</v>
      </c>
      <c r="AS161" s="55">
        <v>44.190000000000396</v>
      </c>
      <c r="AT161" s="87"/>
      <c r="AX161" s="54">
        <f t="shared" si="40"/>
        <v>0</v>
      </c>
      <c r="AY161" s="56">
        <f t="shared" si="41"/>
        <v>0.75499999999999834</v>
      </c>
      <c r="AZ161" s="57">
        <v>55.85</v>
      </c>
    </row>
    <row r="162" spans="43:52">
      <c r="AQ162" s="36">
        <f t="shared" si="39"/>
        <v>0</v>
      </c>
      <c r="AR162" s="54">
        <v>806</v>
      </c>
      <c r="AS162" s="55">
        <v>43.970000000000397</v>
      </c>
      <c r="AT162" s="87"/>
      <c r="AX162" s="54">
        <f t="shared" si="40"/>
        <v>0</v>
      </c>
      <c r="AY162" s="56">
        <f t="shared" si="41"/>
        <v>0.75509999999999833</v>
      </c>
      <c r="AZ162" s="57">
        <v>55.83</v>
      </c>
    </row>
    <row r="163" spans="43:52">
      <c r="AQ163" s="36">
        <f t="shared" si="39"/>
        <v>0</v>
      </c>
      <c r="AR163" s="54">
        <v>807</v>
      </c>
      <c r="AS163" s="55">
        <v>43.760000000000396</v>
      </c>
      <c r="AT163" s="87"/>
      <c r="AX163" s="54">
        <f t="shared" si="40"/>
        <v>0</v>
      </c>
      <c r="AY163" s="56">
        <f t="shared" si="41"/>
        <v>0.75519999999999832</v>
      </c>
      <c r="AZ163" s="57">
        <v>55.8</v>
      </c>
    </row>
    <row r="164" spans="43:52">
      <c r="AQ164" s="36">
        <f t="shared" si="39"/>
        <v>0</v>
      </c>
      <c r="AR164" s="54">
        <v>808</v>
      </c>
      <c r="AS164" s="55">
        <v>43.540000000000397</v>
      </c>
      <c r="AT164" s="87"/>
      <c r="AX164" s="54">
        <f t="shared" si="40"/>
        <v>0</v>
      </c>
      <c r="AY164" s="56">
        <f t="shared" si="41"/>
        <v>0.75529999999999831</v>
      </c>
      <c r="AZ164" s="57">
        <v>55.78</v>
      </c>
    </row>
    <row r="165" spans="43:52">
      <c r="AQ165" s="36">
        <f t="shared" si="39"/>
        <v>0</v>
      </c>
      <c r="AR165" s="54">
        <v>809</v>
      </c>
      <c r="AS165" s="55">
        <v>43.320000000000398</v>
      </c>
      <c r="AT165" s="87"/>
      <c r="AX165" s="54">
        <f t="shared" si="40"/>
        <v>0</v>
      </c>
      <c r="AY165" s="56">
        <f t="shared" si="41"/>
        <v>0.7553999999999983</v>
      </c>
      <c r="AZ165" s="57">
        <v>55.75</v>
      </c>
    </row>
    <row r="166" spans="43:52">
      <c r="AQ166" s="36">
        <f t="shared" si="39"/>
        <v>0</v>
      </c>
      <c r="AR166" s="54">
        <v>810</v>
      </c>
      <c r="AS166" s="55">
        <v>43.110000000000397</v>
      </c>
      <c r="AT166" s="87"/>
      <c r="AX166" s="54">
        <f t="shared" si="40"/>
        <v>0</v>
      </c>
      <c r="AY166" s="56">
        <f t="shared" si="41"/>
        <v>0.75549999999999828</v>
      </c>
      <c r="AZ166" s="57">
        <v>55.73</v>
      </c>
    </row>
    <row r="167" spans="43:52">
      <c r="AQ167" s="36">
        <f t="shared" si="39"/>
        <v>0</v>
      </c>
      <c r="AR167" s="54">
        <v>811</v>
      </c>
      <c r="AS167" s="55">
        <v>42.890000000000398</v>
      </c>
      <c r="AT167" s="87"/>
      <c r="AX167" s="54">
        <f t="shared" si="40"/>
        <v>0</v>
      </c>
      <c r="AY167" s="56">
        <f t="shared" si="41"/>
        <v>0.75559999999999827</v>
      </c>
      <c r="AZ167" s="57">
        <v>55.7</v>
      </c>
    </row>
    <row r="168" spans="43:52">
      <c r="AQ168" s="36">
        <f t="shared" si="39"/>
        <v>0</v>
      </c>
      <c r="AR168" s="54">
        <v>812</v>
      </c>
      <c r="AS168" s="55">
        <v>42.680000000000398</v>
      </c>
      <c r="AT168" s="87"/>
      <c r="AX168" s="54">
        <f t="shared" si="40"/>
        <v>0</v>
      </c>
      <c r="AY168" s="56">
        <f t="shared" si="41"/>
        <v>0.75569999999999826</v>
      </c>
      <c r="AZ168" s="57">
        <v>55.68</v>
      </c>
    </row>
    <row r="169" spans="43:52">
      <c r="AQ169" s="36">
        <f t="shared" si="39"/>
        <v>0</v>
      </c>
      <c r="AR169" s="54">
        <v>813</v>
      </c>
      <c r="AS169" s="55">
        <v>42.460000000000399</v>
      </c>
      <c r="AT169" s="87"/>
      <c r="AX169" s="54">
        <f t="shared" si="40"/>
        <v>0</v>
      </c>
      <c r="AY169" s="56">
        <f t="shared" si="41"/>
        <v>0.75579999999999825</v>
      </c>
      <c r="AZ169" s="57">
        <v>55.65</v>
      </c>
    </row>
    <row r="170" spans="43:52">
      <c r="AQ170" s="36">
        <f t="shared" si="39"/>
        <v>0</v>
      </c>
      <c r="AR170" s="54">
        <v>814</v>
      </c>
      <c r="AS170" s="55">
        <v>42.25</v>
      </c>
      <c r="AT170" s="87"/>
      <c r="AX170" s="54">
        <f t="shared" si="40"/>
        <v>0</v>
      </c>
      <c r="AY170" s="56">
        <f t="shared" si="41"/>
        <v>0.75589999999999824</v>
      </c>
      <c r="AZ170" s="57">
        <v>55.63</v>
      </c>
    </row>
    <row r="171" spans="43:52">
      <c r="AQ171" s="36">
        <f t="shared" si="39"/>
        <v>0</v>
      </c>
      <c r="AR171" s="54">
        <v>815</v>
      </c>
      <c r="AS171" s="55">
        <v>42.03</v>
      </c>
      <c r="AT171" s="87"/>
      <c r="AX171" s="54">
        <f t="shared" si="40"/>
        <v>0</v>
      </c>
      <c r="AY171" s="56">
        <f t="shared" si="41"/>
        <v>0.75599999999999823</v>
      </c>
      <c r="AZ171" s="57">
        <v>55.6</v>
      </c>
    </row>
    <row r="172" spans="43:52">
      <c r="AQ172" s="36">
        <f t="shared" si="39"/>
        <v>0</v>
      </c>
      <c r="AR172" s="54">
        <v>816</v>
      </c>
      <c r="AS172" s="55">
        <v>41.82</v>
      </c>
      <c r="AT172" s="87"/>
      <c r="AX172" s="54">
        <f t="shared" si="40"/>
        <v>0</v>
      </c>
      <c r="AY172" s="56">
        <f t="shared" si="41"/>
        <v>0.75609999999999822</v>
      </c>
      <c r="AZ172" s="57">
        <v>55.58</v>
      </c>
    </row>
    <row r="173" spans="43:52">
      <c r="AQ173" s="36">
        <f t="shared" si="39"/>
        <v>0</v>
      </c>
      <c r="AR173" s="54">
        <v>817</v>
      </c>
      <c r="AS173" s="55">
        <v>41.61</v>
      </c>
      <c r="AT173" s="87"/>
      <c r="AX173" s="54">
        <f t="shared" si="40"/>
        <v>0</v>
      </c>
      <c r="AY173" s="56">
        <f t="shared" si="41"/>
        <v>0.75619999999999821</v>
      </c>
      <c r="AZ173" s="57">
        <v>55.55</v>
      </c>
    </row>
    <row r="174" spans="43:52">
      <c r="AQ174" s="36">
        <f t="shared" si="39"/>
        <v>0</v>
      </c>
      <c r="AR174" s="54">
        <v>818</v>
      </c>
      <c r="AS174" s="55">
        <v>41.4</v>
      </c>
      <c r="AT174" s="87"/>
      <c r="AX174" s="54">
        <f t="shared" si="40"/>
        <v>0</v>
      </c>
      <c r="AY174" s="56">
        <f t="shared" si="41"/>
        <v>0.7562999999999982</v>
      </c>
      <c r="AZ174" s="57">
        <v>55.53</v>
      </c>
    </row>
    <row r="175" spans="43:52">
      <c r="AQ175" s="36">
        <f t="shared" si="39"/>
        <v>0</v>
      </c>
      <c r="AR175" s="54">
        <v>819</v>
      </c>
      <c r="AS175" s="55">
        <v>41.19</v>
      </c>
      <c r="AT175" s="87"/>
      <c r="AX175" s="54">
        <f t="shared" si="40"/>
        <v>0</v>
      </c>
      <c r="AY175" s="56">
        <f t="shared" si="41"/>
        <v>0.75639999999999818</v>
      </c>
      <c r="AZ175" s="57">
        <v>55.5</v>
      </c>
    </row>
    <row r="176" spans="43:52">
      <c r="AQ176" s="36">
        <f t="shared" si="39"/>
        <v>0</v>
      </c>
      <c r="AR176" s="54">
        <v>820</v>
      </c>
      <c r="AS176" s="55">
        <v>40.98</v>
      </c>
      <c r="AT176" s="87"/>
      <c r="AX176" s="54">
        <f t="shared" si="40"/>
        <v>0</v>
      </c>
      <c r="AY176" s="56">
        <f t="shared" si="41"/>
        <v>0.75649999999999817</v>
      </c>
      <c r="AZ176" s="57">
        <v>55.48</v>
      </c>
    </row>
    <row r="177" spans="43:52">
      <c r="AQ177" s="36">
        <f t="shared" si="39"/>
        <v>0</v>
      </c>
      <c r="AR177" s="54">
        <v>821</v>
      </c>
      <c r="AS177" s="55">
        <v>40.76</v>
      </c>
      <c r="AT177" s="87"/>
      <c r="AX177" s="54">
        <f t="shared" si="40"/>
        <v>0</v>
      </c>
      <c r="AY177" s="56">
        <f t="shared" si="41"/>
        <v>0.75659999999999816</v>
      </c>
      <c r="AZ177" s="57">
        <v>55.45</v>
      </c>
    </row>
    <row r="178" spans="43:52">
      <c r="AQ178" s="36">
        <f t="shared" si="39"/>
        <v>0</v>
      </c>
      <c r="AR178" s="54">
        <v>822</v>
      </c>
      <c r="AS178" s="55">
        <v>40.56</v>
      </c>
      <c r="AT178" s="87"/>
      <c r="AX178" s="54">
        <f t="shared" si="40"/>
        <v>0</v>
      </c>
      <c r="AY178" s="56">
        <f t="shared" si="41"/>
        <v>0.75669999999999815</v>
      </c>
      <c r="AZ178" s="57">
        <v>55.43</v>
      </c>
    </row>
    <row r="179" spans="43:52">
      <c r="AQ179" s="36">
        <f t="shared" si="39"/>
        <v>0</v>
      </c>
      <c r="AR179" s="54">
        <v>823</v>
      </c>
      <c r="AS179" s="55">
        <v>40.35</v>
      </c>
      <c r="AT179" s="87"/>
      <c r="AX179" s="54">
        <f t="shared" si="40"/>
        <v>0</v>
      </c>
      <c r="AY179" s="56">
        <f t="shared" si="41"/>
        <v>0.75679999999999814</v>
      </c>
      <c r="AZ179" s="57">
        <v>55.4</v>
      </c>
    </row>
    <row r="180" spans="43:52">
      <c r="AQ180" s="36">
        <f t="shared" si="39"/>
        <v>0</v>
      </c>
      <c r="AR180" s="54">
        <v>824</v>
      </c>
      <c r="AS180" s="55">
        <v>40.14</v>
      </c>
      <c r="AT180" s="87"/>
      <c r="AX180" s="54">
        <f t="shared" si="40"/>
        <v>0</v>
      </c>
      <c r="AY180" s="56">
        <f t="shared" si="41"/>
        <v>0.75689999999999813</v>
      </c>
      <c r="AZ180" s="57">
        <v>55.38</v>
      </c>
    </row>
    <row r="181" spans="43:52">
      <c r="AQ181" s="36">
        <f t="shared" si="39"/>
        <v>0</v>
      </c>
      <c r="AR181" s="54">
        <v>825</v>
      </c>
      <c r="AS181" s="55">
        <v>39.93</v>
      </c>
      <c r="AT181" s="87"/>
      <c r="AX181" s="54">
        <f t="shared" si="40"/>
        <v>0</v>
      </c>
      <c r="AY181" s="56">
        <f t="shared" si="41"/>
        <v>0.75699999999999812</v>
      </c>
      <c r="AZ181" s="57">
        <v>55.35</v>
      </c>
    </row>
    <row r="182" spans="43:52">
      <c r="AQ182" s="36">
        <f t="shared" si="39"/>
        <v>0</v>
      </c>
      <c r="AR182" s="54">
        <v>826</v>
      </c>
      <c r="AS182" s="55">
        <v>39.72</v>
      </c>
      <c r="AT182" s="87"/>
      <c r="AX182" s="54">
        <f t="shared" si="40"/>
        <v>0</v>
      </c>
      <c r="AY182" s="56">
        <f t="shared" si="41"/>
        <v>0.75709999999999811</v>
      </c>
      <c r="AZ182" s="57">
        <v>55.33</v>
      </c>
    </row>
    <row r="183" spans="43:52">
      <c r="AQ183" s="36">
        <f t="shared" si="39"/>
        <v>0</v>
      </c>
      <c r="AR183" s="54">
        <v>827</v>
      </c>
      <c r="AS183" s="55">
        <v>39.51</v>
      </c>
      <c r="AT183" s="87"/>
      <c r="AX183" s="54">
        <f t="shared" si="40"/>
        <v>0</v>
      </c>
      <c r="AY183" s="56">
        <f t="shared" si="41"/>
        <v>0.7571999999999981</v>
      </c>
      <c r="AZ183" s="57">
        <v>55.3</v>
      </c>
    </row>
    <row r="184" spans="43:52">
      <c r="AQ184" s="36">
        <f t="shared" si="39"/>
        <v>0</v>
      </c>
      <c r="AR184" s="54">
        <v>828</v>
      </c>
      <c r="AS184" s="55">
        <v>39.31</v>
      </c>
      <c r="AT184" s="87"/>
      <c r="AX184" s="54">
        <f t="shared" si="40"/>
        <v>0</v>
      </c>
      <c r="AY184" s="56">
        <f t="shared" si="41"/>
        <v>0.75729999999999809</v>
      </c>
      <c r="AZ184" s="57">
        <v>55.28</v>
      </c>
    </row>
    <row r="185" spans="43:52">
      <c r="AQ185" s="36">
        <f t="shared" si="39"/>
        <v>0</v>
      </c>
      <c r="AR185" s="54">
        <v>829</v>
      </c>
      <c r="AS185" s="55">
        <v>39.1</v>
      </c>
      <c r="AT185" s="87"/>
      <c r="AX185" s="54">
        <f t="shared" si="40"/>
        <v>0</v>
      </c>
      <c r="AY185" s="56">
        <f t="shared" si="41"/>
        <v>0.75739999999999807</v>
      </c>
      <c r="AZ185" s="57">
        <v>55.25</v>
      </c>
    </row>
    <row r="186" spans="43:52">
      <c r="AQ186" s="36">
        <f t="shared" si="39"/>
        <v>0</v>
      </c>
      <c r="AR186" s="54">
        <v>830</v>
      </c>
      <c r="AS186" s="55">
        <v>38.9</v>
      </c>
      <c r="AT186" s="87"/>
      <c r="AX186" s="54">
        <f t="shared" si="40"/>
        <v>0</v>
      </c>
      <c r="AY186" s="56">
        <f t="shared" si="41"/>
        <v>0.75749999999999806</v>
      </c>
      <c r="AZ186" s="57">
        <v>55.23</v>
      </c>
    </row>
    <row r="187" spans="43:52">
      <c r="AQ187" s="36">
        <f t="shared" si="39"/>
        <v>0</v>
      </c>
      <c r="AR187" s="54">
        <v>831</v>
      </c>
      <c r="AS187" s="55">
        <v>38.69</v>
      </c>
      <c r="AT187" s="87"/>
      <c r="AX187" s="54">
        <f t="shared" si="40"/>
        <v>0</v>
      </c>
      <c r="AY187" s="56">
        <f t="shared" si="41"/>
        <v>0.75759999999999805</v>
      </c>
      <c r="AZ187" s="57">
        <v>55.21</v>
      </c>
    </row>
    <row r="188" spans="43:52">
      <c r="AQ188" s="36">
        <f t="shared" si="39"/>
        <v>0</v>
      </c>
      <c r="AR188" s="54">
        <v>832</v>
      </c>
      <c r="AS188" s="55">
        <v>38.49</v>
      </c>
      <c r="AT188" s="87"/>
      <c r="AX188" s="54">
        <f t="shared" si="40"/>
        <v>0</v>
      </c>
      <c r="AY188" s="56">
        <f t="shared" si="41"/>
        <v>0.75769999999999804</v>
      </c>
      <c r="AZ188" s="57">
        <v>55.18</v>
      </c>
    </row>
    <row r="189" spans="43:52">
      <c r="AQ189" s="36">
        <f t="shared" si="39"/>
        <v>0</v>
      </c>
      <c r="AR189" s="54">
        <v>833</v>
      </c>
      <c r="AS189" s="55">
        <v>38.28</v>
      </c>
      <c r="AT189" s="87"/>
      <c r="AX189" s="54">
        <f t="shared" si="40"/>
        <v>0</v>
      </c>
      <c r="AY189" s="56">
        <f t="shared" si="41"/>
        <v>0.75779999999999803</v>
      </c>
      <c r="AZ189" s="57">
        <v>55.16</v>
      </c>
    </row>
    <row r="190" spans="43:52">
      <c r="AQ190" s="36">
        <f t="shared" si="39"/>
        <v>0</v>
      </c>
      <c r="AR190" s="54">
        <v>834</v>
      </c>
      <c r="AS190" s="55">
        <v>38.08</v>
      </c>
      <c r="AT190" s="87"/>
      <c r="AX190" s="54">
        <f t="shared" si="40"/>
        <v>0</v>
      </c>
      <c r="AY190" s="56">
        <f t="shared" si="41"/>
        <v>0.75789999999999802</v>
      </c>
      <c r="AZ190" s="57">
        <v>55.13</v>
      </c>
    </row>
    <row r="191" spans="43:52">
      <c r="AQ191" s="36">
        <f t="shared" si="39"/>
        <v>0</v>
      </c>
      <c r="AR191" s="54">
        <v>835</v>
      </c>
      <c r="AS191" s="55">
        <v>37.869999999999997</v>
      </c>
      <c r="AT191" s="87"/>
      <c r="AX191" s="54">
        <f t="shared" si="40"/>
        <v>0</v>
      </c>
      <c r="AY191" s="56">
        <f t="shared" si="41"/>
        <v>0.75799999999999801</v>
      </c>
      <c r="AZ191" s="57">
        <v>55.11</v>
      </c>
    </row>
    <row r="192" spans="43:52">
      <c r="AQ192" s="36">
        <f t="shared" si="39"/>
        <v>0</v>
      </c>
      <c r="AR192" s="54">
        <v>836</v>
      </c>
      <c r="AS192" s="55">
        <v>37.67</v>
      </c>
      <c r="AT192" s="87"/>
      <c r="AX192" s="54">
        <f t="shared" si="40"/>
        <v>0</v>
      </c>
      <c r="AY192" s="56">
        <f t="shared" si="41"/>
        <v>0.758099999999998</v>
      </c>
      <c r="AZ192" s="57">
        <v>55.09</v>
      </c>
    </row>
    <row r="193" spans="43:52">
      <c r="AQ193" s="36">
        <f t="shared" si="39"/>
        <v>0</v>
      </c>
      <c r="AR193" s="54">
        <v>837</v>
      </c>
      <c r="AS193" s="55">
        <v>37.47</v>
      </c>
      <c r="AT193" s="87"/>
      <c r="AX193" s="54">
        <f t="shared" si="40"/>
        <v>0</v>
      </c>
      <c r="AY193" s="56">
        <f t="shared" si="41"/>
        <v>0.75819999999999799</v>
      </c>
      <c r="AZ193" s="57">
        <v>55.06</v>
      </c>
    </row>
    <row r="194" spans="43:52">
      <c r="AQ194" s="36">
        <f t="shared" si="39"/>
        <v>0</v>
      </c>
      <c r="AR194" s="54">
        <v>838</v>
      </c>
      <c r="AS194" s="55">
        <v>37.270000000000003</v>
      </c>
      <c r="AT194" s="87"/>
      <c r="AX194" s="54">
        <f t="shared" si="40"/>
        <v>0</v>
      </c>
      <c r="AY194" s="56">
        <f t="shared" si="41"/>
        <v>0.75829999999999798</v>
      </c>
      <c r="AZ194" s="57">
        <v>55.04</v>
      </c>
    </row>
    <row r="195" spans="43:52">
      <c r="AQ195" s="36">
        <f t="shared" si="39"/>
        <v>0</v>
      </c>
      <c r="AR195" s="54">
        <v>839</v>
      </c>
      <c r="AS195" s="55">
        <v>37.07</v>
      </c>
      <c r="AT195" s="87"/>
      <c r="AX195" s="54">
        <f t="shared" si="40"/>
        <v>0</v>
      </c>
      <c r="AY195" s="56">
        <f t="shared" si="41"/>
        <v>0.75839999999999796</v>
      </c>
      <c r="AZ195" s="57">
        <v>55.01</v>
      </c>
    </row>
    <row r="196" spans="43:52">
      <c r="AQ196" s="36">
        <f t="shared" si="39"/>
        <v>0</v>
      </c>
      <c r="AR196" s="54">
        <v>840</v>
      </c>
      <c r="AS196" s="55">
        <v>36.86</v>
      </c>
      <c r="AT196" s="87"/>
      <c r="AX196" s="54">
        <f t="shared" si="40"/>
        <v>0</v>
      </c>
      <c r="AY196" s="56">
        <f t="shared" si="41"/>
        <v>0.75849999999999795</v>
      </c>
      <c r="AZ196" s="57">
        <v>54.99</v>
      </c>
    </row>
    <row r="197" spans="43:52">
      <c r="AQ197" s="36">
        <f t="shared" si="39"/>
        <v>0</v>
      </c>
      <c r="AR197" s="54">
        <v>841</v>
      </c>
      <c r="AS197" s="55">
        <v>36.659999999999997</v>
      </c>
      <c r="AT197" s="87"/>
      <c r="AX197" s="54">
        <f t="shared" si="40"/>
        <v>0</v>
      </c>
      <c r="AY197" s="56">
        <f t="shared" si="41"/>
        <v>0.75859999999999794</v>
      </c>
      <c r="AZ197" s="57">
        <v>54.96</v>
      </c>
    </row>
    <row r="198" spans="43:52">
      <c r="AQ198" s="36">
        <f t="shared" si="39"/>
        <v>0</v>
      </c>
      <c r="AR198" s="54">
        <v>842</v>
      </c>
      <c r="AS198" s="55">
        <v>36.46</v>
      </c>
      <c r="AT198" s="87"/>
      <c r="AX198" s="54">
        <f t="shared" si="40"/>
        <v>0</v>
      </c>
      <c r="AY198" s="56">
        <f t="shared" si="41"/>
        <v>0.75869999999999793</v>
      </c>
      <c r="AZ198" s="57">
        <v>54.94</v>
      </c>
    </row>
    <row r="199" spans="43:52">
      <c r="AQ199" s="36">
        <f t="shared" si="39"/>
        <v>0</v>
      </c>
      <c r="AR199" s="54">
        <v>843</v>
      </c>
      <c r="AS199" s="55">
        <v>36.270000000000003</v>
      </c>
      <c r="AT199" s="87"/>
      <c r="AX199" s="54">
        <f t="shared" si="40"/>
        <v>0</v>
      </c>
      <c r="AY199" s="56">
        <f t="shared" si="41"/>
        <v>0.75879999999999792</v>
      </c>
      <c r="AZ199" s="57">
        <v>54.91</v>
      </c>
    </row>
    <row r="200" spans="43:52">
      <c r="AQ200" s="36">
        <f t="shared" si="39"/>
        <v>0</v>
      </c>
      <c r="AR200" s="54">
        <v>844</v>
      </c>
      <c r="AS200" s="55">
        <v>36.07</v>
      </c>
      <c r="AT200" s="87"/>
      <c r="AX200" s="54">
        <f t="shared" si="40"/>
        <v>0</v>
      </c>
      <c r="AY200" s="56">
        <f t="shared" si="41"/>
        <v>0.75889999999999791</v>
      </c>
      <c r="AZ200" s="57">
        <v>54.89</v>
      </c>
    </row>
    <row r="201" spans="43:52">
      <c r="AQ201" s="36">
        <f t="shared" si="39"/>
        <v>0</v>
      </c>
      <c r="AR201" s="54">
        <v>845</v>
      </c>
      <c r="AS201" s="55">
        <v>35.869999999999997</v>
      </c>
      <c r="AT201" s="87"/>
      <c r="AX201" s="54">
        <f t="shared" si="40"/>
        <v>0</v>
      </c>
      <c r="AY201" s="56">
        <f t="shared" si="41"/>
        <v>0.7589999999999979</v>
      </c>
      <c r="AZ201" s="57">
        <v>54.86</v>
      </c>
    </row>
    <row r="202" spans="43:52">
      <c r="AQ202" s="36">
        <f t="shared" si="39"/>
        <v>0</v>
      </c>
      <c r="AR202" s="54">
        <v>846</v>
      </c>
      <c r="AS202" s="55">
        <v>35.67</v>
      </c>
      <c r="AT202" s="87"/>
      <c r="AX202" s="54">
        <f t="shared" si="40"/>
        <v>0</v>
      </c>
      <c r="AY202" s="56">
        <f t="shared" si="41"/>
        <v>0.75909999999999789</v>
      </c>
      <c r="AZ202" s="57">
        <v>54.84</v>
      </c>
    </row>
    <row r="203" spans="43:52">
      <c r="AQ203" s="36" t="e">
        <f>#REF!</f>
        <v>#REF!</v>
      </c>
      <c r="AR203" s="54">
        <v>847</v>
      </c>
      <c r="AS203" s="55">
        <v>35.47</v>
      </c>
      <c r="AT203" s="87"/>
      <c r="AX203" s="54" t="e">
        <f>#REF!</f>
        <v>#REF!</v>
      </c>
      <c r="AY203" s="56">
        <f t="shared" si="41"/>
        <v>0.75919999999999788</v>
      </c>
      <c r="AZ203" s="57">
        <v>54.81</v>
      </c>
    </row>
    <row r="204" spans="43:52">
      <c r="AQ204" s="36" t="e">
        <f>#REF!</f>
        <v>#REF!</v>
      </c>
      <c r="AR204" s="54">
        <v>848</v>
      </c>
      <c r="AS204" s="55">
        <v>35.28</v>
      </c>
      <c r="AT204" s="87"/>
      <c r="AX204" s="54" t="e">
        <f>#REF!</f>
        <v>#REF!</v>
      </c>
      <c r="AY204" s="56" t="e">
        <f>#REF!</f>
        <v>#REF!</v>
      </c>
      <c r="AZ204" s="57">
        <v>54.79</v>
      </c>
    </row>
    <row r="205" spans="43:52">
      <c r="AQ205" s="36" t="e">
        <f>#REF!</f>
        <v>#REF!</v>
      </c>
      <c r="AR205" s="54">
        <v>849</v>
      </c>
      <c r="AS205" s="55">
        <v>35.08</v>
      </c>
      <c r="AT205" s="87"/>
      <c r="AX205" s="54" t="e">
        <f>#REF!</f>
        <v>#REF!</v>
      </c>
      <c r="AY205" s="56" t="e">
        <f>#REF!</f>
        <v>#REF!</v>
      </c>
      <c r="AZ205" s="57">
        <v>54.76</v>
      </c>
    </row>
    <row r="206" spans="43:52">
      <c r="AQ206" s="36" t="e">
        <f>#REF!</f>
        <v>#REF!</v>
      </c>
      <c r="AR206" s="54">
        <v>850</v>
      </c>
      <c r="AS206" s="55">
        <v>34.880000000000003</v>
      </c>
      <c r="AT206" s="87"/>
      <c r="AX206" s="54" t="e">
        <f>#REF!</f>
        <v>#REF!</v>
      </c>
      <c r="AY206" s="56" t="e">
        <f>#REF!</f>
        <v>#REF!</v>
      </c>
      <c r="AZ206" s="57">
        <v>54.74</v>
      </c>
    </row>
    <row r="207" spans="43:52">
      <c r="AQ207" s="36" t="e">
        <f>#REF!</f>
        <v>#REF!</v>
      </c>
      <c r="AR207" s="54">
        <v>851</v>
      </c>
      <c r="AS207" s="55">
        <v>34.69</v>
      </c>
      <c r="AT207" s="87"/>
      <c r="AX207" s="54" t="e">
        <f>#REF!</f>
        <v>#REF!</v>
      </c>
      <c r="AY207" s="56" t="e">
        <f>#REF!</f>
        <v>#REF!</v>
      </c>
      <c r="AZ207" s="57">
        <v>54.71</v>
      </c>
    </row>
    <row r="208" spans="43:52">
      <c r="AQ208" s="36" t="e">
        <f>#REF!</f>
        <v>#REF!</v>
      </c>
      <c r="AR208" s="54">
        <v>852</v>
      </c>
      <c r="AS208" s="55">
        <v>34.49</v>
      </c>
      <c r="AT208" s="87"/>
      <c r="AX208" s="54" t="e">
        <f>#REF!</f>
        <v>#REF!</v>
      </c>
      <c r="AY208" s="56" t="e">
        <f>#REF!</f>
        <v>#REF!</v>
      </c>
      <c r="AZ208" s="57">
        <v>54.69</v>
      </c>
    </row>
    <row r="209" spans="43:52">
      <c r="AQ209" s="36" t="e">
        <f>#REF!</f>
        <v>#REF!</v>
      </c>
      <c r="AR209" s="54">
        <v>853</v>
      </c>
      <c r="AS209" s="55">
        <v>34.299999999999997</v>
      </c>
      <c r="AT209" s="87"/>
      <c r="AX209" s="54" t="e">
        <f>#REF!</f>
        <v>#REF!</v>
      </c>
      <c r="AY209" s="56" t="e">
        <f>#REF!</f>
        <v>#REF!</v>
      </c>
      <c r="AZ209" s="57">
        <v>54.66</v>
      </c>
    </row>
    <row r="210" spans="43:52">
      <c r="AQ210" s="36" t="e">
        <f>#REF!</f>
        <v>#REF!</v>
      </c>
      <c r="AR210" s="54">
        <v>854</v>
      </c>
      <c r="AS210" s="55">
        <v>34.1</v>
      </c>
      <c r="AT210" s="87"/>
      <c r="AX210" s="54" t="e">
        <f>#REF!</f>
        <v>#REF!</v>
      </c>
      <c r="AY210" s="56" t="e">
        <f>#REF!</f>
        <v>#REF!</v>
      </c>
      <c r="AZ210" s="57">
        <v>54.64</v>
      </c>
    </row>
    <row r="211" spans="43:52">
      <c r="AQ211" s="36" t="e">
        <f>#REF!</f>
        <v>#REF!</v>
      </c>
      <c r="AR211" s="54">
        <v>855</v>
      </c>
      <c r="AS211" s="55">
        <v>33.909999999999997</v>
      </c>
      <c r="AT211" s="87"/>
      <c r="AX211" s="54" t="e">
        <f>#REF!</f>
        <v>#REF!</v>
      </c>
      <c r="AY211" s="56" t="e">
        <f>#REF!</f>
        <v>#REF!</v>
      </c>
      <c r="AZ211" s="57">
        <v>54.61</v>
      </c>
    </row>
    <row r="212" spans="43:52">
      <c r="AQ212" s="36" t="e">
        <f>#REF!</f>
        <v>#REF!</v>
      </c>
      <c r="AR212" s="54">
        <v>856</v>
      </c>
      <c r="AS212" s="55">
        <v>33.72</v>
      </c>
      <c r="AT212" s="87"/>
      <c r="AX212" s="54" t="e">
        <f>#REF!</f>
        <v>#REF!</v>
      </c>
      <c r="AY212" s="56" t="e">
        <f>#REF!</f>
        <v>#REF!</v>
      </c>
      <c r="AZ212" s="57">
        <v>54.59</v>
      </c>
    </row>
    <row r="213" spans="43:52">
      <c r="AQ213" s="36" t="e">
        <f>#REF!</f>
        <v>#REF!</v>
      </c>
      <c r="AR213" s="54">
        <v>857</v>
      </c>
      <c r="AS213" s="55">
        <v>33.520000000000003</v>
      </c>
      <c r="AT213" s="87"/>
      <c r="AX213" s="54" t="e">
        <f>#REF!</f>
        <v>#REF!</v>
      </c>
      <c r="AY213" s="56" t="e">
        <f>#REF!</f>
        <v>#REF!</v>
      </c>
      <c r="AZ213" s="57">
        <v>54.56</v>
      </c>
    </row>
    <row r="214" spans="43:52">
      <c r="AQ214" s="36" t="e">
        <f>#REF!</f>
        <v>#REF!</v>
      </c>
      <c r="AR214" s="54">
        <v>858</v>
      </c>
      <c r="AS214" s="55">
        <v>33.33</v>
      </c>
      <c r="AT214" s="87"/>
      <c r="AX214" s="54" t="e">
        <f>#REF!</f>
        <v>#REF!</v>
      </c>
      <c r="AY214" s="56" t="e">
        <f>#REF!</f>
        <v>#REF!</v>
      </c>
      <c r="AZ214" s="57">
        <v>54.54</v>
      </c>
    </row>
    <row r="215" spans="43:52">
      <c r="AQ215" s="36" t="e">
        <f>#REF!</f>
        <v>#REF!</v>
      </c>
      <c r="AR215" s="54">
        <v>859</v>
      </c>
      <c r="AS215" s="55">
        <v>33.14</v>
      </c>
      <c r="AT215" s="87"/>
      <c r="AX215" s="54" t="e">
        <f>#REF!</f>
        <v>#REF!</v>
      </c>
      <c r="AY215" s="56" t="e">
        <f>#REF!</f>
        <v>#REF!</v>
      </c>
      <c r="AZ215" s="57">
        <v>54.51</v>
      </c>
    </row>
    <row r="216" spans="43:52">
      <c r="AQ216" s="36" t="e">
        <f>#REF!</f>
        <v>#REF!</v>
      </c>
      <c r="AR216" s="54">
        <v>860</v>
      </c>
      <c r="AS216" s="55">
        <v>32.950000000000003</v>
      </c>
      <c r="AT216" s="87"/>
      <c r="AX216" s="54" t="e">
        <f>#REF!</f>
        <v>#REF!</v>
      </c>
      <c r="AY216" s="56" t="e">
        <f>#REF!</f>
        <v>#REF!</v>
      </c>
      <c r="AZ216" s="57">
        <v>54.49</v>
      </c>
    </row>
    <row r="217" spans="43:52">
      <c r="AQ217" s="36" t="e">
        <f>#REF!</f>
        <v>#REF!</v>
      </c>
      <c r="AR217" s="54">
        <v>861</v>
      </c>
      <c r="AS217" s="55">
        <v>32.76</v>
      </c>
      <c r="AT217" s="87"/>
      <c r="AX217" s="54" t="e">
        <f>#REF!</f>
        <v>#REF!</v>
      </c>
      <c r="AY217" s="56" t="e">
        <f>#REF!</f>
        <v>#REF!</v>
      </c>
      <c r="AZ217" s="57">
        <v>54.47</v>
      </c>
    </row>
    <row r="218" spans="43:52">
      <c r="AQ218" s="36" t="e">
        <f>#REF!</f>
        <v>#REF!</v>
      </c>
      <c r="AR218" s="54">
        <v>862</v>
      </c>
      <c r="AS218" s="55">
        <v>32.57</v>
      </c>
      <c r="AT218" s="87"/>
      <c r="AX218" s="54" t="e">
        <f>#REF!</f>
        <v>#REF!</v>
      </c>
      <c r="AY218" s="56" t="e">
        <f>#REF!</f>
        <v>#REF!</v>
      </c>
      <c r="AZ218" s="57">
        <v>54.44</v>
      </c>
    </row>
    <row r="219" spans="43:52">
      <c r="AQ219" s="36" t="e">
        <f>#REF!</f>
        <v>#REF!</v>
      </c>
      <c r="AR219" s="54">
        <v>863</v>
      </c>
      <c r="AS219" s="55">
        <v>32.380000000000003</v>
      </c>
      <c r="AT219" s="87"/>
      <c r="AX219" s="54" t="e">
        <f>#REF!</f>
        <v>#REF!</v>
      </c>
      <c r="AY219" s="56" t="e">
        <f>#REF!</f>
        <v>#REF!</v>
      </c>
      <c r="AZ219" s="57">
        <v>54.42</v>
      </c>
    </row>
    <row r="220" spans="43:52">
      <c r="AQ220" s="36" t="e">
        <f>#REF!</f>
        <v>#REF!</v>
      </c>
      <c r="AR220" s="54">
        <v>864</v>
      </c>
      <c r="AS220" s="55">
        <v>32.19</v>
      </c>
      <c r="AT220" s="87"/>
      <c r="AX220" s="54" t="e">
        <f>#REF!</f>
        <v>#REF!</v>
      </c>
      <c r="AY220" s="56" t="e">
        <f>#REF!</f>
        <v>#REF!</v>
      </c>
      <c r="AZ220" s="57">
        <v>54.39</v>
      </c>
    </row>
    <row r="221" spans="43:52">
      <c r="AQ221" s="36" t="e">
        <f>#REF!</f>
        <v>#REF!</v>
      </c>
      <c r="AR221" s="54">
        <v>865</v>
      </c>
      <c r="AS221" s="55">
        <v>32</v>
      </c>
      <c r="AT221" s="87"/>
      <c r="AX221" s="54" t="e">
        <f>#REF!</f>
        <v>#REF!</v>
      </c>
      <c r="AY221" s="56" t="e">
        <f>#REF!</f>
        <v>#REF!</v>
      </c>
      <c r="AZ221" s="57">
        <v>54.37</v>
      </c>
    </row>
    <row r="222" spans="43:52">
      <c r="AQ222" s="36" t="e">
        <f>#REF!</f>
        <v>#REF!</v>
      </c>
      <c r="AR222" s="54">
        <v>866</v>
      </c>
      <c r="AS222" s="55">
        <v>31.81</v>
      </c>
      <c r="AT222" s="87"/>
      <c r="AX222" s="54" t="e">
        <f>#REF!</f>
        <v>#REF!</v>
      </c>
      <c r="AY222" s="56" t="e">
        <f>#REF!</f>
        <v>#REF!</v>
      </c>
      <c r="AZ222" s="57">
        <v>54.35</v>
      </c>
    </row>
    <row r="223" spans="43:52">
      <c r="AQ223" s="36" t="e">
        <f>#REF!</f>
        <v>#REF!</v>
      </c>
      <c r="AR223" s="54">
        <v>867</v>
      </c>
      <c r="AS223" s="55">
        <v>31.62</v>
      </c>
      <c r="AT223" s="87"/>
      <c r="AX223" s="54" t="e">
        <f>#REF!</f>
        <v>#REF!</v>
      </c>
      <c r="AY223" s="56" t="e">
        <f>#REF!</f>
        <v>#REF!</v>
      </c>
      <c r="AZ223" s="57">
        <v>54.32</v>
      </c>
    </row>
    <row r="224" spans="43:52">
      <c r="AQ224" s="36" t="e">
        <f>#REF!</f>
        <v>#REF!</v>
      </c>
      <c r="AR224" s="54">
        <v>868</v>
      </c>
      <c r="AS224" s="55">
        <v>31.43</v>
      </c>
      <c r="AT224" s="87"/>
      <c r="AX224" s="54" t="e">
        <f>#REF!</f>
        <v>#REF!</v>
      </c>
      <c r="AY224" s="56" t="e">
        <f>#REF!</f>
        <v>#REF!</v>
      </c>
      <c r="AZ224" s="57">
        <v>54.3</v>
      </c>
    </row>
    <row r="225" spans="43:52">
      <c r="AQ225" s="36" t="e">
        <f>#REF!</f>
        <v>#REF!</v>
      </c>
      <c r="AR225" s="54">
        <v>869</v>
      </c>
      <c r="AS225" s="55">
        <v>31.24</v>
      </c>
      <c r="AT225" s="87"/>
      <c r="AX225" s="54" t="e">
        <f>#REF!</f>
        <v>#REF!</v>
      </c>
      <c r="AY225" s="56" t="e">
        <f>#REF!</f>
        <v>#REF!</v>
      </c>
      <c r="AZ225" s="57">
        <v>54.27</v>
      </c>
    </row>
    <row r="226" spans="43:52">
      <c r="AQ226" s="36" t="e">
        <f>#REF!</f>
        <v>#REF!</v>
      </c>
      <c r="AR226" s="54">
        <v>870</v>
      </c>
      <c r="AS226" s="55">
        <v>31.06</v>
      </c>
      <c r="AT226" s="87"/>
      <c r="AX226" s="54" t="e">
        <f>#REF!</f>
        <v>#REF!</v>
      </c>
      <c r="AY226" s="56" t="e">
        <f>#REF!</f>
        <v>#REF!</v>
      </c>
      <c r="AZ226" s="57">
        <v>54.27</v>
      </c>
    </row>
    <row r="227" spans="43:52">
      <c r="AQ227" s="36" t="e">
        <f>#REF!</f>
        <v>#REF!</v>
      </c>
      <c r="AR227" s="54">
        <v>871</v>
      </c>
      <c r="AS227" s="55">
        <v>30.87</v>
      </c>
      <c r="AT227" s="87"/>
      <c r="AX227" s="54" t="e">
        <f>#REF!</f>
        <v>#REF!</v>
      </c>
      <c r="AY227" s="56" t="e">
        <f>#REF!</f>
        <v>#REF!</v>
      </c>
      <c r="AZ227" s="57">
        <v>54.22</v>
      </c>
    </row>
    <row r="228" spans="43:52">
      <c r="AQ228" s="36" t="e">
        <f>#REF!</f>
        <v>#REF!</v>
      </c>
      <c r="AR228" s="54">
        <v>872</v>
      </c>
      <c r="AS228" s="55">
        <v>30.68</v>
      </c>
      <c r="AT228" s="87"/>
      <c r="AX228" s="54" t="e">
        <f>#REF!</f>
        <v>#REF!</v>
      </c>
      <c r="AY228" s="56" t="e">
        <f>#REF!</f>
        <v>#REF!</v>
      </c>
      <c r="AZ228" s="57">
        <v>54.2</v>
      </c>
    </row>
    <row r="229" spans="43:52">
      <c r="AQ229" s="36" t="e">
        <f>#REF!</f>
        <v>#REF!</v>
      </c>
      <c r="AR229" s="54">
        <v>873</v>
      </c>
      <c r="AS229" s="55">
        <v>30.5</v>
      </c>
      <c r="AT229" s="87"/>
      <c r="AX229" s="54" t="e">
        <f>#REF!</f>
        <v>#REF!</v>
      </c>
      <c r="AY229" s="56" t="e">
        <f>#REF!</f>
        <v>#REF!</v>
      </c>
      <c r="AZ229" s="57">
        <v>54.17</v>
      </c>
    </row>
    <row r="230" spans="43:52">
      <c r="AQ230" s="36" t="e">
        <f>#REF!</f>
        <v>#REF!</v>
      </c>
      <c r="AR230" s="54">
        <v>874</v>
      </c>
      <c r="AS230" s="55">
        <v>30.31</v>
      </c>
      <c r="AT230" s="87"/>
      <c r="AX230" s="54" t="e">
        <f>#REF!</f>
        <v>#REF!</v>
      </c>
      <c r="AY230" s="56" t="e">
        <f>#REF!</f>
        <v>#REF!</v>
      </c>
      <c r="AZ230" s="57">
        <v>54.15</v>
      </c>
    </row>
    <row r="231" spans="43:52">
      <c r="AQ231" s="36" t="e">
        <f>#REF!</f>
        <v>#REF!</v>
      </c>
      <c r="AR231" s="54">
        <v>875</v>
      </c>
      <c r="AS231" s="55">
        <v>30.13</v>
      </c>
      <c r="AT231" s="87"/>
      <c r="AX231" s="54" t="e">
        <f>#REF!</f>
        <v>#REF!</v>
      </c>
      <c r="AY231" s="56" t="e">
        <f>#REF!</f>
        <v>#REF!</v>
      </c>
      <c r="AZ231" s="57">
        <v>54.12</v>
      </c>
    </row>
    <row r="232" spans="43:52">
      <c r="AQ232" s="36" t="e">
        <f>#REF!</f>
        <v>#REF!</v>
      </c>
      <c r="AR232" s="54">
        <v>876</v>
      </c>
      <c r="AS232" s="55">
        <v>29.94</v>
      </c>
      <c r="AT232" s="87"/>
      <c r="AX232" s="54" t="e">
        <f>#REF!</f>
        <v>#REF!</v>
      </c>
      <c r="AY232" s="56" t="e">
        <f>#REF!</f>
        <v>#REF!</v>
      </c>
      <c r="AZ232" s="57">
        <v>54.1</v>
      </c>
    </row>
    <row r="233" spans="43:52">
      <c r="AQ233" s="36" t="e">
        <f>#REF!</f>
        <v>#REF!</v>
      </c>
      <c r="AR233" s="54">
        <v>877</v>
      </c>
      <c r="AS233" s="55">
        <v>29.76</v>
      </c>
      <c r="AT233" s="87"/>
      <c r="AX233" s="54" t="e">
        <f>#REF!</f>
        <v>#REF!</v>
      </c>
      <c r="AY233" s="56" t="e">
        <f>#REF!</f>
        <v>#REF!</v>
      </c>
      <c r="AZ233" s="57">
        <v>54.07</v>
      </c>
    </row>
    <row r="234" spans="43:52">
      <c r="AQ234" s="36" t="e">
        <f>#REF!</f>
        <v>#REF!</v>
      </c>
      <c r="AR234" s="54">
        <v>878</v>
      </c>
      <c r="AS234" s="55">
        <v>29.57</v>
      </c>
      <c r="AT234" s="87"/>
      <c r="AX234" s="54" t="e">
        <f>#REF!</f>
        <v>#REF!</v>
      </c>
      <c r="AY234" s="56" t="e">
        <f>#REF!</f>
        <v>#REF!</v>
      </c>
      <c r="AZ234" s="57">
        <v>54.05</v>
      </c>
    </row>
    <row r="235" spans="43:52">
      <c r="AQ235" s="36" t="e">
        <f>#REF!</f>
        <v>#REF!</v>
      </c>
      <c r="AR235" s="54">
        <v>879</v>
      </c>
      <c r="AS235" s="55">
        <v>29.39</v>
      </c>
      <c r="AT235" s="87"/>
      <c r="AX235" s="54" t="e">
        <f>#REF!</f>
        <v>#REF!</v>
      </c>
      <c r="AY235" s="56" t="e">
        <f>#REF!</f>
        <v>#REF!</v>
      </c>
      <c r="AZ235" s="57">
        <v>54.02</v>
      </c>
    </row>
    <row r="236" spans="43:52">
      <c r="AQ236" s="36" t="e">
        <f>#REF!</f>
        <v>#REF!</v>
      </c>
      <c r="AR236" s="54">
        <v>880</v>
      </c>
      <c r="AS236" s="55">
        <v>29.21</v>
      </c>
      <c r="AT236" s="87"/>
      <c r="AX236" s="54" t="e">
        <f>#REF!</f>
        <v>#REF!</v>
      </c>
      <c r="AY236" s="56" t="e">
        <f>#REF!</f>
        <v>#REF!</v>
      </c>
      <c r="AZ236" s="57">
        <v>54</v>
      </c>
    </row>
    <row r="237" spans="43:52">
      <c r="AQ237" s="36" t="e">
        <f>#REF!</f>
        <v>#REF!</v>
      </c>
      <c r="AR237" s="54">
        <v>881</v>
      </c>
      <c r="AS237" s="55">
        <v>29.02</v>
      </c>
      <c r="AT237" s="87"/>
      <c r="AX237" s="54" t="e">
        <f>#REF!</f>
        <v>#REF!</v>
      </c>
      <c r="AY237" s="56" t="e">
        <f>#REF!</f>
        <v>#REF!</v>
      </c>
      <c r="AZ237" s="57">
        <v>53.98</v>
      </c>
    </row>
    <row r="238" spans="43:52">
      <c r="AQ238" s="36" t="e">
        <f>#REF!</f>
        <v>#REF!</v>
      </c>
      <c r="AR238" s="54">
        <v>882</v>
      </c>
      <c r="AS238" s="55">
        <v>28.84</v>
      </c>
      <c r="AT238" s="87"/>
      <c r="AX238" s="54" t="e">
        <f>#REF!</f>
        <v>#REF!</v>
      </c>
      <c r="AY238" s="56" t="e">
        <f>#REF!</f>
        <v>#REF!</v>
      </c>
      <c r="AZ238" s="57">
        <v>53.95</v>
      </c>
    </row>
    <row r="239" spans="43:52">
      <c r="AQ239" s="36" t="e">
        <f>#REF!</f>
        <v>#REF!</v>
      </c>
      <c r="AR239" s="54">
        <v>883</v>
      </c>
      <c r="AS239" s="55">
        <v>28.66</v>
      </c>
      <c r="AT239" s="87"/>
      <c r="AX239" s="54" t="e">
        <f>#REF!</f>
        <v>#REF!</v>
      </c>
      <c r="AY239" s="56" t="e">
        <f>#REF!</f>
        <v>#REF!</v>
      </c>
      <c r="AZ239" s="57">
        <v>53.93</v>
      </c>
    </row>
    <row r="240" spans="43:52">
      <c r="AQ240" s="36" t="e">
        <f>#REF!</f>
        <v>#REF!</v>
      </c>
      <c r="AR240" s="54">
        <v>884</v>
      </c>
      <c r="AS240" s="55">
        <v>28.48</v>
      </c>
      <c r="AT240" s="87"/>
      <c r="AX240" s="54" t="e">
        <f>#REF!</f>
        <v>#REF!</v>
      </c>
      <c r="AY240" s="56" t="e">
        <f>#REF!</f>
        <v>#REF!</v>
      </c>
      <c r="AZ240" s="57">
        <v>53.9</v>
      </c>
    </row>
    <row r="241" spans="43:52">
      <c r="AQ241" s="36" t="e">
        <f>#REF!</f>
        <v>#REF!</v>
      </c>
      <c r="AR241" s="54">
        <v>885</v>
      </c>
      <c r="AS241" s="55">
        <v>28.3</v>
      </c>
      <c r="AT241" s="87"/>
      <c r="AX241" s="54" t="e">
        <f>#REF!</f>
        <v>#REF!</v>
      </c>
      <c r="AY241" s="56" t="e">
        <f>#REF!</f>
        <v>#REF!</v>
      </c>
      <c r="AZ241" s="57">
        <v>53.88</v>
      </c>
    </row>
    <row r="242" spans="43:52">
      <c r="AQ242" s="36" t="e">
        <f>#REF!</f>
        <v>#REF!</v>
      </c>
      <c r="AR242" s="54">
        <v>886</v>
      </c>
      <c r="AS242" s="55">
        <v>28.12</v>
      </c>
      <c r="AT242" s="87"/>
      <c r="AX242" s="54" t="e">
        <f>#REF!</f>
        <v>#REF!</v>
      </c>
      <c r="AY242" s="56" t="e">
        <f>#REF!</f>
        <v>#REF!</v>
      </c>
      <c r="AZ242" s="57">
        <v>53.86</v>
      </c>
    </row>
    <row r="243" spans="43:52">
      <c r="AQ243" s="36" t="e">
        <f>#REF!</f>
        <v>#REF!</v>
      </c>
      <c r="AR243" s="54">
        <v>887</v>
      </c>
      <c r="AS243" s="55">
        <v>27.94</v>
      </c>
      <c r="AT243" s="87"/>
      <c r="AX243" s="54" t="e">
        <f>#REF!</f>
        <v>#REF!</v>
      </c>
      <c r="AY243" s="56" t="e">
        <f>#REF!</f>
        <v>#REF!</v>
      </c>
      <c r="AZ243" s="57">
        <v>53.83</v>
      </c>
    </row>
    <row r="244" spans="43:52">
      <c r="AQ244" s="36" t="e">
        <f>#REF!</f>
        <v>#REF!</v>
      </c>
      <c r="AR244" s="54">
        <v>888</v>
      </c>
      <c r="AS244" s="55">
        <v>27.76</v>
      </c>
      <c r="AT244" s="87"/>
      <c r="AX244" s="54" t="e">
        <f>#REF!</f>
        <v>#REF!</v>
      </c>
      <c r="AY244" s="56" t="e">
        <f>#REF!</f>
        <v>#REF!</v>
      </c>
      <c r="AZ244" s="57">
        <v>53.81</v>
      </c>
    </row>
    <row r="245" spans="43:52">
      <c r="AQ245" s="36" t="e">
        <f>#REF!</f>
        <v>#REF!</v>
      </c>
      <c r="AR245" s="54">
        <v>889</v>
      </c>
      <c r="AS245" s="55">
        <v>27.58</v>
      </c>
      <c r="AT245" s="87"/>
      <c r="AX245" s="54" t="e">
        <f>#REF!</f>
        <v>#REF!</v>
      </c>
      <c r="AY245" s="56" t="e">
        <f>#REF!</f>
        <v>#REF!</v>
      </c>
      <c r="AZ245" s="57">
        <v>53.78</v>
      </c>
    </row>
    <row r="246" spans="43:52">
      <c r="AQ246" s="36" t="e">
        <f>#REF!</f>
        <v>#REF!</v>
      </c>
      <c r="AR246" s="54">
        <v>890</v>
      </c>
      <c r="AS246" s="55">
        <v>27.4</v>
      </c>
      <c r="AT246" s="87"/>
      <c r="AX246" s="54" t="e">
        <f>#REF!</f>
        <v>#REF!</v>
      </c>
      <c r="AY246" s="56" t="e">
        <f>#REF!</f>
        <v>#REF!</v>
      </c>
      <c r="AZ246" s="57">
        <v>53.76</v>
      </c>
    </row>
    <row r="247" spans="43:52">
      <c r="AQ247" s="36" t="e">
        <f>#REF!</f>
        <v>#REF!</v>
      </c>
      <c r="AR247" s="54">
        <v>891</v>
      </c>
      <c r="AS247" s="55">
        <v>27.22</v>
      </c>
      <c r="AT247" s="87"/>
      <c r="AX247" s="54" t="e">
        <f>#REF!</f>
        <v>#REF!</v>
      </c>
      <c r="AY247" s="56" t="e">
        <f>#REF!</f>
        <v>#REF!</v>
      </c>
      <c r="AZ247" s="57">
        <v>53.74</v>
      </c>
    </row>
    <row r="248" spans="43:52">
      <c r="AQ248" s="36" t="e">
        <f>#REF!</f>
        <v>#REF!</v>
      </c>
      <c r="AR248" s="54">
        <v>892</v>
      </c>
      <c r="AS248" s="55">
        <v>27.04</v>
      </c>
      <c r="AT248" s="87"/>
      <c r="AX248" s="54" t="e">
        <f>#REF!</f>
        <v>#REF!</v>
      </c>
      <c r="AY248" s="56" t="e">
        <f>#REF!</f>
        <v>#REF!</v>
      </c>
      <c r="AZ248" s="57">
        <v>53.71</v>
      </c>
    </row>
    <row r="249" spans="43:52">
      <c r="AQ249" s="36" t="e">
        <f>#REF!</f>
        <v>#REF!</v>
      </c>
      <c r="AR249" s="54">
        <v>893</v>
      </c>
      <c r="AS249" s="55">
        <v>26.87</v>
      </c>
      <c r="AT249" s="87"/>
      <c r="AX249" s="54" t="e">
        <f>#REF!</f>
        <v>#REF!</v>
      </c>
      <c r="AY249" s="56" t="e">
        <f>#REF!</f>
        <v>#REF!</v>
      </c>
      <c r="AZ249" s="57">
        <v>53.69</v>
      </c>
    </row>
    <row r="250" spans="43:52">
      <c r="AQ250" s="36" t="e">
        <f>#REF!</f>
        <v>#REF!</v>
      </c>
      <c r="AR250" s="54">
        <v>894</v>
      </c>
      <c r="AS250" s="55">
        <v>26.69</v>
      </c>
      <c r="AT250" s="87"/>
      <c r="AX250" s="54" t="e">
        <f>#REF!</f>
        <v>#REF!</v>
      </c>
      <c r="AY250" s="56" t="e">
        <f>#REF!</f>
        <v>#REF!</v>
      </c>
      <c r="AZ250" s="57">
        <v>53.66</v>
      </c>
    </row>
    <row r="251" spans="43:52">
      <c r="AQ251" s="36" t="e">
        <f>#REF!</f>
        <v>#REF!</v>
      </c>
      <c r="AR251" s="54">
        <v>895</v>
      </c>
      <c r="AS251" s="55">
        <v>26.51</v>
      </c>
      <c r="AT251" s="87"/>
      <c r="AX251" s="54" t="e">
        <f>#REF!</f>
        <v>#REF!</v>
      </c>
      <c r="AY251" s="56" t="e">
        <f>#REF!</f>
        <v>#REF!</v>
      </c>
      <c r="AZ251" s="57">
        <v>53.64</v>
      </c>
    </row>
    <row r="252" spans="43:52">
      <c r="AQ252" s="36" t="e">
        <f>#REF!</f>
        <v>#REF!</v>
      </c>
      <c r="AR252" s="54">
        <v>896</v>
      </c>
      <c r="AS252" s="55">
        <v>26.34</v>
      </c>
      <c r="AT252" s="87"/>
      <c r="AX252" s="54" t="e">
        <f>#REF!</f>
        <v>#REF!</v>
      </c>
      <c r="AY252" s="56" t="e">
        <f>#REF!</f>
        <v>#REF!</v>
      </c>
      <c r="AZ252" s="57">
        <v>53.62</v>
      </c>
    </row>
    <row r="253" spans="43:52">
      <c r="AQ253" s="36" t="e">
        <f>#REF!</f>
        <v>#REF!</v>
      </c>
      <c r="AR253" s="54">
        <v>897</v>
      </c>
      <c r="AS253" s="55">
        <v>26.16</v>
      </c>
      <c r="AT253" s="87"/>
      <c r="AX253" s="54" t="e">
        <f>#REF!</f>
        <v>#REF!</v>
      </c>
      <c r="AY253" s="56" t="e">
        <f>#REF!</f>
        <v>#REF!</v>
      </c>
      <c r="AZ253" s="57">
        <v>53.59</v>
      </c>
    </row>
    <row r="254" spans="43:52">
      <c r="AQ254" s="36" t="e">
        <f>#REF!</f>
        <v>#REF!</v>
      </c>
      <c r="AR254" s="54">
        <v>898</v>
      </c>
      <c r="AS254" s="55">
        <v>25.98</v>
      </c>
      <c r="AT254" s="87"/>
      <c r="AX254" s="54" t="e">
        <f>#REF!</f>
        <v>#REF!</v>
      </c>
      <c r="AY254" s="56" t="e">
        <f>#REF!</f>
        <v>#REF!</v>
      </c>
      <c r="AZ254" s="57">
        <v>53.57</v>
      </c>
    </row>
    <row r="255" spans="43:52">
      <c r="AQ255" s="36" t="e">
        <f>#REF!</f>
        <v>#REF!</v>
      </c>
      <c r="AR255" s="54">
        <v>899</v>
      </c>
      <c r="AS255" s="55">
        <v>25.81</v>
      </c>
      <c r="AT255" s="87"/>
      <c r="AX255" s="54" t="e">
        <f>#REF!</f>
        <v>#REF!</v>
      </c>
      <c r="AY255" s="56" t="e">
        <f>#REF!</f>
        <v>#REF!</v>
      </c>
      <c r="AZ255" s="57">
        <v>53.54</v>
      </c>
    </row>
    <row r="256" spans="43:52">
      <c r="AQ256" s="36" t="e">
        <f>#REF!</f>
        <v>#REF!</v>
      </c>
      <c r="AR256" s="54">
        <v>900</v>
      </c>
      <c r="AS256" s="55">
        <v>25.63</v>
      </c>
      <c r="AT256" s="87"/>
      <c r="AX256" s="54" t="e">
        <f>#REF!</f>
        <v>#REF!</v>
      </c>
      <c r="AY256" s="56" t="e">
        <f>#REF!</f>
        <v>#REF!</v>
      </c>
      <c r="AZ256" s="57">
        <v>53.52</v>
      </c>
    </row>
    <row r="257" spans="43:52">
      <c r="AQ257" s="36" t="e">
        <f>#REF!</f>
        <v>#REF!</v>
      </c>
      <c r="AR257" s="54">
        <v>901</v>
      </c>
      <c r="AS257" s="55">
        <v>25.46</v>
      </c>
      <c r="AT257" s="87"/>
      <c r="AX257" s="54" t="e">
        <f>#REF!</f>
        <v>#REF!</v>
      </c>
      <c r="AY257" s="56" t="e">
        <f>#REF!</f>
        <v>#REF!</v>
      </c>
      <c r="AZ257" s="57">
        <v>53.49</v>
      </c>
    </row>
    <row r="258" spans="43:52">
      <c r="AQ258" s="36" t="e">
        <f>#REF!</f>
        <v>#REF!</v>
      </c>
      <c r="AR258" s="54">
        <v>902</v>
      </c>
      <c r="AS258" s="55">
        <v>25.29</v>
      </c>
      <c r="AT258" s="87"/>
      <c r="AX258" s="54" t="e">
        <f>#REF!</f>
        <v>#REF!</v>
      </c>
      <c r="AY258" s="56" t="e">
        <f>#REF!</f>
        <v>#REF!</v>
      </c>
      <c r="AZ258" s="57">
        <v>53.47</v>
      </c>
    </row>
    <row r="260" spans="43:52">
      <c r="AQ260" s="36" t="e">
        <f>#REF!</f>
        <v>#REF!</v>
      </c>
      <c r="AR260" s="54">
        <v>904</v>
      </c>
      <c r="AS260" s="55">
        <v>24.94</v>
      </c>
      <c r="AT260" s="87"/>
      <c r="AX260" s="54" t="e">
        <f>#REF!</f>
        <v>#REF!</v>
      </c>
      <c r="AY260" s="56" t="e">
        <f>#REF!</f>
        <v>#REF!</v>
      </c>
      <c r="AZ260" s="57">
        <v>53.42</v>
      </c>
    </row>
    <row r="261" spans="43:52">
      <c r="AQ261" s="36" t="e">
        <f>#REF!</f>
        <v>#REF!</v>
      </c>
      <c r="AR261" s="54">
        <v>905</v>
      </c>
      <c r="AS261" s="55">
        <v>24.77</v>
      </c>
      <c r="AT261" s="87"/>
      <c r="AX261" s="54" t="e">
        <f>#REF!</f>
        <v>#REF!</v>
      </c>
      <c r="AY261" s="56" t="e">
        <f>#REF!</f>
        <v>#REF!</v>
      </c>
      <c r="AZ261" s="57">
        <v>53.39</v>
      </c>
    </row>
    <row r="262" spans="43:52">
      <c r="AQ262" s="36" t="e">
        <f>#REF!</f>
        <v>#REF!</v>
      </c>
      <c r="AR262" s="54">
        <v>906</v>
      </c>
      <c r="AS262" s="55">
        <v>24.59</v>
      </c>
      <c r="AT262" s="87"/>
      <c r="AX262" s="54" t="e">
        <f>#REF!</f>
        <v>#REF!</v>
      </c>
      <c r="AY262" s="56" t="e">
        <f>#REF!</f>
        <v>#REF!</v>
      </c>
      <c r="AZ262" s="57">
        <v>53.37</v>
      </c>
    </row>
    <row r="263" spans="43:52">
      <c r="AQ263" s="36" t="e">
        <f>#REF!</f>
        <v>#REF!</v>
      </c>
      <c r="AR263" s="54">
        <v>907</v>
      </c>
      <c r="AS263" s="55">
        <v>24.42</v>
      </c>
      <c r="AT263" s="87"/>
      <c r="AX263" s="54" t="e">
        <f>#REF!</f>
        <v>#REF!</v>
      </c>
      <c r="AY263" s="56" t="e">
        <f>#REF!</f>
        <v>#REF!</v>
      </c>
      <c r="AZ263" s="57">
        <v>53.34</v>
      </c>
    </row>
    <row r="264" spans="43:52">
      <c r="AQ264" s="36" t="e">
        <f>#REF!</f>
        <v>#REF!</v>
      </c>
      <c r="AR264" s="54">
        <v>908</v>
      </c>
      <c r="AS264" s="55">
        <v>24.25</v>
      </c>
      <c r="AT264" s="87"/>
      <c r="AX264" s="54" t="e">
        <f>#REF!</f>
        <v>#REF!</v>
      </c>
      <c r="AY264" s="56" t="e">
        <f>#REF!</f>
        <v>#REF!</v>
      </c>
      <c r="AZ264" s="57">
        <v>53.32</v>
      </c>
    </row>
    <row r="265" spans="43:52">
      <c r="AQ265" s="36" t="e">
        <f>#REF!</f>
        <v>#REF!</v>
      </c>
      <c r="AR265" s="54">
        <v>909</v>
      </c>
      <c r="AS265" s="55">
        <v>24.08</v>
      </c>
      <c r="AT265" s="87"/>
      <c r="AX265" s="54" t="e">
        <f>#REF!</f>
        <v>#REF!</v>
      </c>
      <c r="AY265" s="56" t="e">
        <f>#REF!</f>
        <v>#REF!</v>
      </c>
      <c r="AZ265" s="57">
        <v>53.29</v>
      </c>
    </row>
    <row r="266" spans="43:52">
      <c r="AQ266" s="36" t="e">
        <f>#REF!</f>
        <v>#REF!</v>
      </c>
      <c r="AR266" s="54">
        <v>910</v>
      </c>
      <c r="AS266" s="55">
        <v>23.91</v>
      </c>
      <c r="AT266" s="87"/>
      <c r="AX266" s="54" t="e">
        <f>#REF!</f>
        <v>#REF!</v>
      </c>
      <c r="AY266" s="56" t="e">
        <f>#REF!</f>
        <v>#REF!</v>
      </c>
      <c r="AZ266" s="57">
        <v>53.27</v>
      </c>
    </row>
    <row r="267" spans="43:52">
      <c r="AQ267" s="36">
        <f t="shared" ref="AQ267:AQ290" si="42">IF(AND(($AJ$12*1000)&gt;0,($AJ$12*1000)&gt;AR267,($AJ$12*1000)&lt;AR268),AS267-ROUND((((($AJ$12*1000)-AR267)*ABS(AS267-AS268))/ABS(AR267-AR268)),2),IF(($AJ$12*1000)=AR267,AS267,0))</f>
        <v>0</v>
      </c>
      <c r="AR267" s="54">
        <v>911</v>
      </c>
      <c r="AS267" s="55">
        <v>23.74</v>
      </c>
      <c r="AT267" s="87"/>
      <c r="AX267" s="54" t="e">
        <f t="shared" ref="AX267:AX290" si="43">IF(AND(($AJ$12)&gt;0,($AJ$12)&gt;AY267,($AJ$12)&lt;AY268),AZ267-ROUND((((($AJ$12)-AY267)*ABS(AZ267-AZ268))/ABS(AY267-AY268)),2),IF(($AJ$12)=AY267,AZ267,0))</f>
        <v>#REF!</v>
      </c>
      <c r="AY267" s="56" t="e">
        <f>#REF!</f>
        <v>#REF!</v>
      </c>
      <c r="AZ267" s="57">
        <v>53.25</v>
      </c>
    </row>
    <row r="268" spans="43:52">
      <c r="AQ268" s="36">
        <f t="shared" si="42"/>
        <v>0</v>
      </c>
      <c r="AR268" s="54">
        <v>912</v>
      </c>
      <c r="AS268" s="55">
        <v>23.57</v>
      </c>
      <c r="AT268" s="87"/>
      <c r="AX268" s="54" t="e">
        <f t="shared" si="43"/>
        <v>#REF!</v>
      </c>
      <c r="AY268" s="56" t="e">
        <f t="shared" ref="AY268:AY290" si="44">AY267+0.0001</f>
        <v>#REF!</v>
      </c>
      <c r="AZ268" s="57">
        <v>53.22</v>
      </c>
    </row>
    <row r="269" spans="43:52">
      <c r="AQ269" s="36">
        <f t="shared" si="42"/>
        <v>0</v>
      </c>
      <c r="AR269" s="54">
        <v>913</v>
      </c>
      <c r="AS269" s="55">
        <v>23.4</v>
      </c>
      <c r="AT269" s="87"/>
      <c r="AX269" s="54" t="e">
        <f t="shared" si="43"/>
        <v>#REF!</v>
      </c>
      <c r="AY269" s="56" t="e">
        <f t="shared" si="44"/>
        <v>#REF!</v>
      </c>
      <c r="AZ269" s="57">
        <v>53.2</v>
      </c>
    </row>
    <row r="270" spans="43:52">
      <c r="AQ270" s="36">
        <f t="shared" si="42"/>
        <v>0</v>
      </c>
      <c r="AR270" s="54">
        <v>914</v>
      </c>
      <c r="AS270" s="55">
        <v>23.23</v>
      </c>
      <c r="AT270" s="87"/>
      <c r="AX270" s="54" t="e">
        <f t="shared" si="43"/>
        <v>#REF!</v>
      </c>
      <c r="AY270" s="56" t="e">
        <f t="shared" si="44"/>
        <v>#REF!</v>
      </c>
      <c r="AZ270" s="57">
        <v>53.17</v>
      </c>
    </row>
    <row r="271" spans="43:52">
      <c r="AQ271" s="36">
        <f t="shared" si="42"/>
        <v>0</v>
      </c>
      <c r="AR271" s="54">
        <v>915</v>
      </c>
      <c r="AS271" s="55">
        <v>23.06</v>
      </c>
      <c r="AT271" s="87"/>
      <c r="AX271" s="54" t="e">
        <f t="shared" si="43"/>
        <v>#REF!</v>
      </c>
      <c r="AY271" s="56" t="e">
        <f t="shared" si="44"/>
        <v>#REF!</v>
      </c>
      <c r="AZ271" s="57">
        <v>53.15</v>
      </c>
    </row>
    <row r="272" spans="43:52">
      <c r="AQ272" s="36">
        <f t="shared" si="42"/>
        <v>0</v>
      </c>
      <c r="AR272" s="54">
        <v>916</v>
      </c>
      <c r="AS272" s="55">
        <v>22.89</v>
      </c>
      <c r="AT272" s="87"/>
      <c r="AX272" s="54" t="e">
        <f t="shared" si="43"/>
        <v>#REF!</v>
      </c>
      <c r="AY272" s="56" t="e">
        <f t="shared" si="44"/>
        <v>#REF!</v>
      </c>
      <c r="AZ272" s="57">
        <v>53.13</v>
      </c>
    </row>
    <row r="273" spans="43:52">
      <c r="AQ273" s="36">
        <f t="shared" si="42"/>
        <v>0</v>
      </c>
      <c r="AR273" s="54">
        <v>917</v>
      </c>
      <c r="AS273" s="55">
        <v>22.72</v>
      </c>
      <c r="AT273" s="87"/>
      <c r="AX273" s="54" t="e">
        <f t="shared" si="43"/>
        <v>#REF!</v>
      </c>
      <c r="AY273" s="56" t="e">
        <f t="shared" si="44"/>
        <v>#REF!</v>
      </c>
      <c r="AZ273" s="57">
        <v>53.1</v>
      </c>
    </row>
    <row r="274" spans="43:52">
      <c r="AQ274" s="36">
        <f t="shared" si="42"/>
        <v>0</v>
      </c>
      <c r="AR274" s="54">
        <v>918</v>
      </c>
      <c r="AS274" s="55">
        <v>22.55</v>
      </c>
      <c r="AT274" s="87"/>
      <c r="AX274" s="54" t="e">
        <f t="shared" si="43"/>
        <v>#REF!</v>
      </c>
      <c r="AY274" s="56" t="e">
        <f t="shared" si="44"/>
        <v>#REF!</v>
      </c>
      <c r="AZ274" s="57">
        <v>53.08</v>
      </c>
    </row>
    <row r="275" spans="43:52">
      <c r="AQ275" s="36">
        <f t="shared" si="42"/>
        <v>0</v>
      </c>
      <c r="AR275" s="54">
        <v>919</v>
      </c>
      <c r="AS275" s="55">
        <v>22.38</v>
      </c>
      <c r="AT275" s="87"/>
      <c r="AX275" s="54" t="e">
        <f t="shared" si="43"/>
        <v>#REF!</v>
      </c>
      <c r="AY275" s="56" t="e">
        <f t="shared" si="44"/>
        <v>#REF!</v>
      </c>
      <c r="AZ275" s="57">
        <v>53.05</v>
      </c>
    </row>
    <row r="276" spans="43:52">
      <c r="AQ276" s="36">
        <f t="shared" si="42"/>
        <v>0</v>
      </c>
      <c r="AR276" s="54">
        <v>920</v>
      </c>
      <c r="AS276" s="55">
        <v>22.22</v>
      </c>
      <c r="AT276" s="87"/>
      <c r="AX276" s="54" t="e">
        <f t="shared" si="43"/>
        <v>#REF!</v>
      </c>
      <c r="AY276" s="56" t="e">
        <f t="shared" si="44"/>
        <v>#REF!</v>
      </c>
      <c r="AZ276" s="57">
        <v>53.03</v>
      </c>
    </row>
    <row r="277" spans="43:52">
      <c r="AQ277" s="36">
        <f t="shared" si="42"/>
        <v>0</v>
      </c>
      <c r="AR277" s="54">
        <v>921</v>
      </c>
      <c r="AS277" s="55">
        <v>22.05</v>
      </c>
      <c r="AT277" s="87"/>
      <c r="AX277" s="54" t="e">
        <f t="shared" si="43"/>
        <v>#REF!</v>
      </c>
      <c r="AY277" s="56" t="e">
        <f t="shared" si="44"/>
        <v>#REF!</v>
      </c>
      <c r="AZ277" s="57">
        <v>53.01</v>
      </c>
    </row>
    <row r="278" spans="43:52">
      <c r="AQ278" s="36">
        <f t="shared" si="42"/>
        <v>0</v>
      </c>
      <c r="AR278" s="54">
        <v>922</v>
      </c>
      <c r="AS278" s="55">
        <v>21.88</v>
      </c>
      <c r="AT278" s="87"/>
      <c r="AX278" s="54" t="e">
        <f t="shared" si="43"/>
        <v>#REF!</v>
      </c>
      <c r="AY278" s="56" t="e">
        <f t="shared" si="44"/>
        <v>#REF!</v>
      </c>
      <c r="AZ278" s="57">
        <v>52.98</v>
      </c>
    </row>
    <row r="279" spans="43:52">
      <c r="AQ279" s="36">
        <f t="shared" si="42"/>
        <v>0</v>
      </c>
      <c r="AR279" s="54">
        <v>923</v>
      </c>
      <c r="AS279" s="55">
        <v>21.72</v>
      </c>
      <c r="AT279" s="87"/>
      <c r="AX279" s="54" t="e">
        <f t="shared" si="43"/>
        <v>#REF!</v>
      </c>
      <c r="AY279" s="56" t="e">
        <f t="shared" si="44"/>
        <v>#REF!</v>
      </c>
      <c r="AZ279" s="57">
        <v>52.96</v>
      </c>
    </row>
    <row r="280" spans="43:52">
      <c r="AQ280" s="36">
        <f t="shared" si="42"/>
        <v>0</v>
      </c>
      <c r="AR280" s="54">
        <v>924</v>
      </c>
      <c r="AS280" s="55">
        <v>21.55</v>
      </c>
      <c r="AT280" s="87"/>
      <c r="AX280" s="54" t="e">
        <f t="shared" si="43"/>
        <v>#REF!</v>
      </c>
      <c r="AY280" s="56" t="e">
        <f t="shared" si="44"/>
        <v>#REF!</v>
      </c>
      <c r="AZ280" s="57">
        <v>52.93</v>
      </c>
    </row>
    <row r="281" spans="43:52">
      <c r="AQ281" s="36">
        <f t="shared" si="42"/>
        <v>0</v>
      </c>
      <c r="AR281" s="54">
        <v>925</v>
      </c>
      <c r="AS281" s="55">
        <v>21.39</v>
      </c>
      <c r="AT281" s="87"/>
      <c r="AX281" s="54" t="e">
        <f t="shared" si="43"/>
        <v>#REF!</v>
      </c>
      <c r="AY281" s="56" t="e">
        <f t="shared" si="44"/>
        <v>#REF!</v>
      </c>
      <c r="AZ281" s="57">
        <v>52.91</v>
      </c>
    </row>
    <row r="282" spans="43:52">
      <c r="AQ282" s="36">
        <f t="shared" si="42"/>
        <v>0</v>
      </c>
      <c r="AR282" s="54">
        <v>926</v>
      </c>
      <c r="AS282" s="55">
        <v>21.22</v>
      </c>
      <c r="AT282" s="87"/>
      <c r="AX282" s="54" t="e">
        <f t="shared" si="43"/>
        <v>#REF!</v>
      </c>
      <c r="AY282" s="56" t="e">
        <f t="shared" si="44"/>
        <v>#REF!</v>
      </c>
      <c r="AZ282" s="57">
        <v>52.89</v>
      </c>
    </row>
    <row r="283" spans="43:52">
      <c r="AQ283" s="36">
        <f t="shared" si="42"/>
        <v>0</v>
      </c>
      <c r="AR283" s="54">
        <v>927</v>
      </c>
      <c r="AS283" s="55">
        <v>21.06</v>
      </c>
      <c r="AT283" s="87"/>
      <c r="AX283" s="54" t="e">
        <f t="shared" si="43"/>
        <v>#REF!</v>
      </c>
      <c r="AY283" s="56" t="e">
        <f t="shared" si="44"/>
        <v>#REF!</v>
      </c>
      <c r="AZ283" s="57">
        <v>52.86</v>
      </c>
    </row>
    <row r="284" spans="43:52">
      <c r="AQ284" s="36">
        <f t="shared" si="42"/>
        <v>0</v>
      </c>
      <c r="AR284" s="54">
        <v>928</v>
      </c>
      <c r="AS284" s="55">
        <v>20.89</v>
      </c>
      <c r="AT284" s="87"/>
      <c r="AX284" s="54" t="e">
        <f t="shared" si="43"/>
        <v>#REF!</v>
      </c>
      <c r="AY284" s="56" t="e">
        <f t="shared" si="44"/>
        <v>#REF!</v>
      </c>
      <c r="AZ284" s="57">
        <v>52.84</v>
      </c>
    </row>
    <row r="285" spans="43:52">
      <c r="AQ285" s="36">
        <f t="shared" si="42"/>
        <v>0</v>
      </c>
      <c r="AR285" s="54">
        <v>929</v>
      </c>
      <c r="AS285" s="55">
        <v>20.73</v>
      </c>
      <c r="AT285" s="87"/>
      <c r="AX285" s="54" t="e">
        <f t="shared" si="43"/>
        <v>#REF!</v>
      </c>
      <c r="AY285" s="56" t="e">
        <f t="shared" si="44"/>
        <v>#REF!</v>
      </c>
      <c r="AZ285" s="57">
        <v>52.81</v>
      </c>
    </row>
    <row r="286" spans="43:52">
      <c r="AQ286" s="36">
        <f t="shared" si="42"/>
        <v>0</v>
      </c>
      <c r="AR286" s="54">
        <v>930</v>
      </c>
      <c r="AS286" s="55">
        <v>20.56</v>
      </c>
      <c r="AT286" s="87"/>
      <c r="AX286" s="54" t="e">
        <f t="shared" si="43"/>
        <v>#REF!</v>
      </c>
      <c r="AY286" s="56" t="e">
        <f t="shared" si="44"/>
        <v>#REF!</v>
      </c>
      <c r="AZ286" s="57">
        <v>52.79</v>
      </c>
    </row>
    <row r="287" spans="43:52">
      <c r="AQ287" s="36">
        <f t="shared" si="42"/>
        <v>0</v>
      </c>
      <c r="AR287" s="54">
        <v>931</v>
      </c>
      <c r="AS287" s="55">
        <v>20.399999999999999</v>
      </c>
      <c r="AT287" s="87"/>
      <c r="AX287" s="54" t="e">
        <f t="shared" si="43"/>
        <v>#REF!</v>
      </c>
      <c r="AY287" s="56" t="e">
        <f t="shared" si="44"/>
        <v>#REF!</v>
      </c>
      <c r="AZ287" s="57">
        <v>52.77</v>
      </c>
    </row>
    <row r="288" spans="43:52">
      <c r="AQ288" s="36">
        <f t="shared" si="42"/>
        <v>0</v>
      </c>
      <c r="AR288" s="54">
        <v>932</v>
      </c>
      <c r="AS288" s="55">
        <v>20.239999999999998</v>
      </c>
      <c r="AT288" s="87"/>
      <c r="AX288" s="54" t="e">
        <f t="shared" si="43"/>
        <v>#REF!</v>
      </c>
      <c r="AY288" s="56" t="e">
        <f t="shared" si="44"/>
        <v>#REF!</v>
      </c>
      <c r="AZ288" s="57">
        <v>52.74</v>
      </c>
    </row>
    <row r="289" spans="2:52">
      <c r="AQ289" s="36">
        <f t="shared" si="42"/>
        <v>0</v>
      </c>
      <c r="AR289" s="54">
        <v>933</v>
      </c>
      <c r="AS289" s="55">
        <v>20.07</v>
      </c>
      <c r="AT289" s="87"/>
      <c r="AX289" s="54" t="e">
        <f t="shared" si="43"/>
        <v>#REF!</v>
      </c>
      <c r="AY289" s="56" t="e">
        <f t="shared" si="44"/>
        <v>#REF!</v>
      </c>
      <c r="AZ289" s="57">
        <v>52.72</v>
      </c>
    </row>
    <row r="290" spans="2:52">
      <c r="AQ290" s="36">
        <f t="shared" si="42"/>
        <v>0</v>
      </c>
      <c r="AR290" s="54">
        <v>934</v>
      </c>
      <c r="AS290" s="55">
        <v>19.91</v>
      </c>
      <c r="AT290" s="87"/>
      <c r="AX290" s="54" t="e">
        <f t="shared" si="43"/>
        <v>#REF!</v>
      </c>
      <c r="AY290" s="56" t="e">
        <f t="shared" si="44"/>
        <v>#REF!</v>
      </c>
      <c r="AZ290" s="57">
        <v>52.69</v>
      </c>
    </row>
    <row r="291" spans="2:52">
      <c r="B291" s="105">
        <v>284</v>
      </c>
      <c r="C291" s="3"/>
      <c r="D291" s="11"/>
      <c r="E291" s="28"/>
      <c r="F291" s="29"/>
      <c r="G291" s="32"/>
      <c r="H291" s="33"/>
      <c r="I291" s="106"/>
    </row>
    <row r="292" spans="2:52">
      <c r="B292" s="105">
        <v>285</v>
      </c>
      <c r="C292" s="3"/>
      <c r="D292" s="11"/>
      <c r="E292" s="28"/>
      <c r="F292" s="29"/>
      <c r="G292" s="32"/>
      <c r="H292" s="33"/>
      <c r="I292" s="106"/>
    </row>
    <row r="293" spans="2:52">
      <c r="B293" s="105">
        <v>286</v>
      </c>
      <c r="C293" s="3"/>
      <c r="D293" s="11"/>
      <c r="E293" s="28"/>
      <c r="F293" s="29"/>
      <c r="G293" s="32"/>
      <c r="H293" s="33"/>
      <c r="I293" s="106"/>
    </row>
    <row r="294" spans="2:52">
      <c r="B294" s="105">
        <v>287</v>
      </c>
      <c r="C294" s="3"/>
      <c r="D294" s="11"/>
      <c r="E294" s="28"/>
      <c r="F294" s="29"/>
      <c r="G294" s="32"/>
      <c r="H294" s="33"/>
      <c r="I294" s="106"/>
    </row>
    <row r="295" spans="2:52">
      <c r="B295" s="105">
        <v>288</v>
      </c>
      <c r="C295" s="3"/>
      <c r="D295" s="11"/>
      <c r="E295" s="28"/>
      <c r="F295" s="29"/>
      <c r="G295" s="32"/>
      <c r="H295" s="33"/>
      <c r="I295" s="106"/>
    </row>
    <row r="296" spans="2:52">
      <c r="B296" s="105">
        <v>289</v>
      </c>
      <c r="C296" s="3"/>
      <c r="D296" s="11"/>
      <c r="E296" s="28"/>
      <c r="F296" s="29"/>
      <c r="G296" s="32"/>
      <c r="H296" s="33"/>
      <c r="I296" s="106"/>
    </row>
    <row r="297" spans="2:52">
      <c r="B297" s="105">
        <v>290</v>
      </c>
      <c r="C297" s="3"/>
      <c r="D297" s="11"/>
      <c r="E297" s="28"/>
      <c r="F297" s="29"/>
      <c r="G297" s="32"/>
      <c r="H297" s="33"/>
      <c r="I297" s="106"/>
    </row>
    <row r="298" spans="2:52">
      <c r="B298" s="105">
        <v>291</v>
      </c>
      <c r="C298" s="3"/>
      <c r="D298" s="11"/>
      <c r="E298" s="28"/>
      <c r="F298" s="29"/>
      <c r="G298" s="32"/>
      <c r="H298" s="33"/>
      <c r="I298" s="106"/>
    </row>
    <row r="299" spans="2:52">
      <c r="B299" s="105">
        <v>292</v>
      </c>
      <c r="C299" s="3"/>
      <c r="D299" s="11"/>
      <c r="E299" s="28"/>
      <c r="F299" s="29"/>
      <c r="G299" s="32"/>
      <c r="H299" s="33"/>
      <c r="I299" s="106"/>
    </row>
    <row r="300" spans="2:52">
      <c r="B300" s="105">
        <v>293</v>
      </c>
      <c r="C300" s="3"/>
      <c r="D300" s="11"/>
      <c r="E300" s="28"/>
      <c r="F300" s="29"/>
      <c r="G300" s="32"/>
      <c r="H300" s="33"/>
      <c r="I300" s="106"/>
    </row>
    <row r="301" spans="2:52">
      <c r="B301" s="105">
        <v>294</v>
      </c>
      <c r="C301" s="3"/>
      <c r="D301" s="11"/>
      <c r="E301" s="28"/>
      <c r="F301" s="29"/>
      <c r="G301" s="32"/>
      <c r="H301" s="33"/>
      <c r="I301" s="106"/>
    </row>
    <row r="302" spans="2:52">
      <c r="B302" s="105">
        <v>295</v>
      </c>
      <c r="C302" s="3"/>
      <c r="D302" s="11"/>
      <c r="E302" s="28"/>
      <c r="F302" s="29"/>
      <c r="G302" s="32"/>
      <c r="H302" s="33"/>
      <c r="I302" s="106"/>
    </row>
    <row r="303" spans="2:52">
      <c r="B303" s="105">
        <v>296</v>
      </c>
      <c r="C303" s="3"/>
      <c r="D303" s="11"/>
      <c r="E303" s="28"/>
      <c r="F303" s="29"/>
      <c r="G303" s="32"/>
      <c r="H303" s="33"/>
      <c r="I303" s="106"/>
    </row>
    <row r="304" spans="2:52">
      <c r="B304" s="105">
        <v>297</v>
      </c>
      <c r="C304" s="3"/>
      <c r="D304" s="11"/>
      <c r="E304" s="28"/>
      <c r="F304" s="29"/>
      <c r="G304" s="32"/>
      <c r="H304" s="33"/>
      <c r="I304" s="106"/>
    </row>
    <row r="305" spans="2:9">
      <c r="B305" s="105">
        <v>298</v>
      </c>
      <c r="C305" s="3"/>
      <c r="D305" s="11"/>
      <c r="E305" s="28"/>
      <c r="F305" s="29"/>
      <c r="G305" s="32"/>
      <c r="H305" s="33"/>
      <c r="I305" s="106"/>
    </row>
    <row r="306" spans="2:9">
      <c r="B306" s="105">
        <v>299</v>
      </c>
      <c r="C306" s="3"/>
      <c r="D306" s="11"/>
      <c r="E306" s="28"/>
      <c r="F306" s="29"/>
      <c r="G306" s="32"/>
      <c r="H306" s="33"/>
      <c r="I306" s="106"/>
    </row>
    <row r="307" spans="2:9">
      <c r="B307" s="105">
        <v>300</v>
      </c>
      <c r="C307" s="3"/>
      <c r="D307" s="11"/>
      <c r="E307" s="28"/>
      <c r="F307" s="29"/>
      <c r="G307" s="32"/>
      <c r="H307" s="33"/>
      <c r="I307" s="106"/>
    </row>
    <row r="308" spans="2:9">
      <c r="B308" s="105">
        <v>301</v>
      </c>
      <c r="C308" s="3"/>
      <c r="D308" s="11"/>
      <c r="E308" s="28"/>
      <c r="F308" s="29"/>
      <c r="G308" s="32"/>
      <c r="H308" s="33"/>
      <c r="I308" s="106"/>
    </row>
    <row r="309" spans="2:9">
      <c r="B309" s="105">
        <v>302</v>
      </c>
      <c r="C309" s="3"/>
      <c r="D309" s="11"/>
      <c r="E309" s="28"/>
      <c r="F309" s="29"/>
      <c r="G309" s="32"/>
      <c r="H309" s="33"/>
      <c r="I309" s="106"/>
    </row>
    <row r="310" spans="2:9">
      <c r="B310" s="105">
        <v>303</v>
      </c>
      <c r="C310" s="3"/>
      <c r="D310" s="11"/>
      <c r="E310" s="28"/>
      <c r="F310" s="29"/>
      <c r="G310" s="32"/>
      <c r="H310" s="33"/>
      <c r="I310" s="106"/>
    </row>
    <row r="311" spans="2:9">
      <c r="B311" s="105">
        <v>304</v>
      </c>
      <c r="C311" s="3"/>
      <c r="D311" s="11"/>
      <c r="E311" s="28"/>
      <c r="F311" s="29"/>
      <c r="G311" s="32"/>
      <c r="H311" s="33"/>
      <c r="I311" s="106"/>
    </row>
    <row r="312" spans="2:9">
      <c r="B312" s="105">
        <v>305</v>
      </c>
      <c r="C312" s="3"/>
      <c r="D312" s="11"/>
      <c r="E312" s="28"/>
      <c r="F312" s="29"/>
      <c r="G312" s="32"/>
      <c r="H312" s="33"/>
      <c r="I312" s="106"/>
    </row>
    <row r="313" spans="2:9">
      <c r="B313" s="105">
        <v>306</v>
      </c>
      <c r="C313" s="3"/>
      <c r="D313" s="11"/>
      <c r="E313" s="28"/>
      <c r="F313" s="29"/>
      <c r="G313" s="32"/>
      <c r="H313" s="33"/>
      <c r="I313" s="106"/>
    </row>
    <row r="314" spans="2:9">
      <c r="B314" s="105">
        <v>307</v>
      </c>
      <c r="C314" s="3"/>
      <c r="D314" s="11"/>
      <c r="E314" s="28"/>
      <c r="F314" s="29"/>
      <c r="G314" s="32"/>
      <c r="H314" s="33"/>
      <c r="I314" s="106"/>
    </row>
    <row r="315" spans="2:9">
      <c r="B315" s="105">
        <v>308</v>
      </c>
      <c r="C315" s="3"/>
      <c r="D315" s="11"/>
      <c r="E315" s="28"/>
      <c r="F315" s="29"/>
      <c r="G315" s="32"/>
      <c r="H315" s="33"/>
      <c r="I315" s="106"/>
    </row>
    <row r="316" spans="2:9">
      <c r="B316" s="105">
        <v>309</v>
      </c>
      <c r="C316" s="3"/>
      <c r="D316" s="11"/>
      <c r="E316" s="28"/>
      <c r="F316" s="29"/>
      <c r="G316" s="32"/>
      <c r="H316" s="33"/>
      <c r="I316" s="106"/>
    </row>
    <row r="317" spans="2:9">
      <c r="B317" s="105">
        <v>310</v>
      </c>
      <c r="C317" s="3"/>
      <c r="D317" s="11"/>
      <c r="E317" s="28"/>
      <c r="F317" s="29"/>
      <c r="G317" s="32"/>
      <c r="H317" s="33"/>
      <c r="I317" s="106"/>
    </row>
    <row r="318" spans="2:9">
      <c r="B318" s="105">
        <v>311</v>
      </c>
      <c r="C318" s="3"/>
      <c r="D318" s="11"/>
      <c r="E318" s="28"/>
      <c r="F318" s="29"/>
      <c r="G318" s="32"/>
      <c r="H318" s="33"/>
      <c r="I318" s="106"/>
    </row>
    <row r="319" spans="2:9">
      <c r="B319" s="105">
        <v>312</v>
      </c>
      <c r="C319" s="3"/>
      <c r="D319" s="11"/>
      <c r="E319" s="28"/>
      <c r="F319" s="29"/>
      <c r="G319" s="32"/>
      <c r="H319" s="33"/>
      <c r="I319" s="106"/>
    </row>
    <row r="320" spans="2:9">
      <c r="B320" s="105">
        <v>313</v>
      </c>
      <c r="C320" s="3"/>
      <c r="D320" s="11"/>
      <c r="E320" s="28"/>
      <c r="F320" s="29"/>
      <c r="G320" s="32"/>
      <c r="H320" s="33"/>
      <c r="I320" s="106"/>
    </row>
    <row r="321" spans="2:9">
      <c r="B321" s="105">
        <v>314</v>
      </c>
      <c r="C321" s="3"/>
      <c r="D321" s="11"/>
      <c r="E321" s="28"/>
      <c r="F321" s="29"/>
      <c r="G321" s="32"/>
      <c r="H321" s="33"/>
      <c r="I321" s="106"/>
    </row>
    <row r="322" spans="2:9">
      <c r="B322" s="105">
        <v>315</v>
      </c>
      <c r="C322" s="3"/>
      <c r="D322" s="11"/>
      <c r="E322" s="28"/>
      <c r="F322" s="29"/>
      <c r="G322" s="32"/>
      <c r="H322" s="33"/>
      <c r="I322" s="106"/>
    </row>
    <row r="323" spans="2:9">
      <c r="B323" s="105">
        <v>316</v>
      </c>
      <c r="C323" s="3"/>
      <c r="D323" s="11"/>
      <c r="E323" s="28"/>
      <c r="F323" s="29"/>
      <c r="G323" s="32"/>
      <c r="H323" s="33"/>
      <c r="I323" s="106"/>
    </row>
    <row r="324" spans="2:9">
      <c r="B324" s="105">
        <v>317</v>
      </c>
      <c r="C324" s="3"/>
      <c r="D324" s="11"/>
      <c r="E324" s="28"/>
      <c r="F324" s="29"/>
      <c r="G324" s="32"/>
      <c r="H324" s="33"/>
      <c r="I324" s="106"/>
    </row>
    <row r="325" spans="2:9">
      <c r="B325" s="105">
        <v>318</v>
      </c>
      <c r="C325" s="3"/>
      <c r="D325" s="11"/>
      <c r="E325" s="28"/>
      <c r="F325" s="29"/>
      <c r="G325" s="32"/>
      <c r="H325" s="33"/>
      <c r="I325" s="106"/>
    </row>
    <row r="326" spans="2:9">
      <c r="B326" s="105">
        <v>319</v>
      </c>
      <c r="C326" s="3"/>
      <c r="D326" s="11"/>
      <c r="E326" s="28"/>
      <c r="F326" s="29"/>
      <c r="G326" s="32"/>
      <c r="H326" s="33"/>
      <c r="I326" s="106"/>
    </row>
    <row r="327" spans="2:9">
      <c r="B327" s="105">
        <v>320</v>
      </c>
      <c r="C327" s="3"/>
      <c r="D327" s="11"/>
      <c r="E327" s="28"/>
      <c r="F327" s="29"/>
      <c r="G327" s="32"/>
      <c r="H327" s="33"/>
      <c r="I327" s="106"/>
    </row>
    <row r="328" spans="2:9">
      <c r="B328" s="105">
        <v>321</v>
      </c>
      <c r="C328" s="3"/>
      <c r="D328" s="11"/>
      <c r="E328" s="28"/>
      <c r="F328" s="29"/>
      <c r="G328" s="32"/>
      <c r="H328" s="33"/>
      <c r="I328" s="106"/>
    </row>
    <row r="329" spans="2:9">
      <c r="B329" s="105">
        <v>322</v>
      </c>
      <c r="C329" s="3"/>
      <c r="D329" s="11"/>
      <c r="E329" s="28"/>
      <c r="F329" s="29"/>
      <c r="G329" s="32"/>
      <c r="H329" s="33"/>
      <c r="I329" s="106"/>
    </row>
    <row r="330" spans="2:9">
      <c r="B330" s="105">
        <v>323</v>
      </c>
      <c r="C330" s="3"/>
      <c r="D330" s="11"/>
      <c r="E330" s="28"/>
      <c r="F330" s="29"/>
      <c r="G330" s="32"/>
      <c r="H330" s="33"/>
      <c r="I330" s="106"/>
    </row>
    <row r="331" spans="2:9">
      <c r="B331" s="105">
        <v>324</v>
      </c>
      <c r="C331" s="3"/>
      <c r="D331" s="11"/>
      <c r="E331" s="28"/>
      <c r="F331" s="29"/>
      <c r="G331" s="32"/>
      <c r="H331" s="33"/>
      <c r="I331" s="106"/>
    </row>
    <row r="332" spans="2:9">
      <c r="B332" s="105">
        <v>325</v>
      </c>
      <c r="C332" s="3"/>
      <c r="D332" s="11"/>
      <c r="E332" s="28"/>
      <c r="F332" s="29"/>
      <c r="G332" s="32"/>
      <c r="H332" s="33"/>
      <c r="I332" s="106"/>
    </row>
    <row r="333" spans="2:9">
      <c r="B333" s="105">
        <v>326</v>
      </c>
      <c r="C333" s="3"/>
      <c r="D333" s="11"/>
      <c r="E333" s="28"/>
      <c r="F333" s="29"/>
      <c r="G333" s="32"/>
      <c r="H333" s="33"/>
      <c r="I333" s="106"/>
    </row>
    <row r="334" spans="2:9">
      <c r="B334" s="105">
        <v>327</v>
      </c>
      <c r="C334" s="3"/>
      <c r="D334" s="11"/>
      <c r="E334" s="28"/>
      <c r="F334" s="29"/>
      <c r="G334" s="32"/>
      <c r="H334" s="33"/>
      <c r="I334" s="106"/>
    </row>
    <row r="335" spans="2:9">
      <c r="B335" s="105">
        <v>328</v>
      </c>
      <c r="C335" s="3"/>
      <c r="D335" s="11"/>
      <c r="E335" s="28"/>
      <c r="F335" s="29"/>
      <c r="G335" s="32"/>
      <c r="H335" s="33"/>
      <c r="I335" s="106"/>
    </row>
    <row r="336" spans="2:9">
      <c r="B336" s="105">
        <v>329</v>
      </c>
      <c r="C336" s="3"/>
      <c r="D336" s="11"/>
      <c r="E336" s="28"/>
      <c r="F336" s="29"/>
      <c r="G336" s="32"/>
      <c r="H336" s="33"/>
      <c r="I336" s="106"/>
    </row>
    <row r="337" spans="2:9">
      <c r="B337" s="105">
        <v>330</v>
      </c>
      <c r="C337" s="3"/>
      <c r="D337" s="11"/>
      <c r="E337" s="28"/>
      <c r="F337" s="29"/>
      <c r="G337" s="32"/>
      <c r="H337" s="33"/>
      <c r="I337" s="106"/>
    </row>
    <row r="338" spans="2:9">
      <c r="B338" s="105">
        <v>331</v>
      </c>
      <c r="C338" s="3"/>
      <c r="D338" s="11"/>
      <c r="E338" s="28"/>
      <c r="F338" s="29"/>
      <c r="G338" s="32"/>
      <c r="H338" s="33"/>
      <c r="I338" s="106"/>
    </row>
    <row r="339" spans="2:9">
      <c r="B339" s="105">
        <v>332</v>
      </c>
      <c r="C339" s="3"/>
      <c r="D339" s="11"/>
      <c r="E339" s="28"/>
      <c r="F339" s="29"/>
      <c r="G339" s="32"/>
      <c r="H339" s="33"/>
      <c r="I339" s="106"/>
    </row>
    <row r="340" spans="2:9">
      <c r="B340" s="105">
        <v>333</v>
      </c>
      <c r="C340" s="3"/>
      <c r="D340" s="11"/>
      <c r="E340" s="28"/>
      <c r="F340" s="29"/>
      <c r="G340" s="32"/>
      <c r="H340" s="33"/>
      <c r="I340" s="106"/>
    </row>
    <row r="341" spans="2:9">
      <c r="B341" s="105">
        <v>334</v>
      </c>
      <c r="C341" s="3"/>
      <c r="D341" s="11"/>
      <c r="E341" s="28"/>
      <c r="F341" s="29"/>
      <c r="G341" s="32"/>
      <c r="H341" s="33"/>
      <c r="I341" s="106"/>
    </row>
    <row r="342" spans="2:9">
      <c r="B342" s="105">
        <v>335</v>
      </c>
      <c r="C342" s="3"/>
      <c r="D342" s="11"/>
      <c r="E342" s="28"/>
      <c r="F342" s="29"/>
      <c r="G342" s="32"/>
      <c r="H342" s="33"/>
      <c r="I342" s="106"/>
    </row>
    <row r="343" spans="2:9">
      <c r="B343" s="105">
        <v>336</v>
      </c>
      <c r="C343" s="3"/>
      <c r="D343" s="11"/>
      <c r="E343" s="28"/>
      <c r="F343" s="29"/>
      <c r="G343" s="32"/>
      <c r="H343" s="33"/>
      <c r="I343" s="106"/>
    </row>
    <row r="344" spans="2:9">
      <c r="B344" s="105">
        <v>337</v>
      </c>
      <c r="C344" s="3"/>
      <c r="D344" s="11"/>
      <c r="E344" s="28"/>
      <c r="F344" s="29"/>
      <c r="G344" s="32"/>
      <c r="H344" s="33"/>
      <c r="I344" s="106"/>
    </row>
    <row r="345" spans="2:9">
      <c r="B345" s="105">
        <v>338</v>
      </c>
      <c r="C345" s="3"/>
      <c r="D345" s="11"/>
      <c r="E345" s="28"/>
      <c r="F345" s="29"/>
      <c r="G345" s="32"/>
      <c r="H345" s="33"/>
      <c r="I345" s="106"/>
    </row>
    <row r="346" spans="2:9">
      <c r="B346" s="105">
        <v>339</v>
      </c>
      <c r="C346" s="3"/>
      <c r="D346" s="11"/>
      <c r="E346" s="28"/>
      <c r="F346" s="29"/>
      <c r="G346" s="32"/>
      <c r="H346" s="33"/>
      <c r="I346" s="106"/>
    </row>
    <row r="347" spans="2:9">
      <c r="B347" s="105">
        <v>340</v>
      </c>
      <c r="C347" s="3"/>
      <c r="D347" s="11"/>
      <c r="E347" s="28"/>
      <c r="F347" s="29"/>
      <c r="G347" s="32"/>
      <c r="H347" s="33"/>
      <c r="I347" s="106"/>
    </row>
    <row r="348" spans="2:9">
      <c r="B348" s="105">
        <v>341</v>
      </c>
      <c r="C348" s="3"/>
      <c r="D348" s="11"/>
      <c r="E348" s="28"/>
      <c r="F348" s="29"/>
      <c r="G348" s="32"/>
      <c r="H348" s="33"/>
      <c r="I348" s="106"/>
    </row>
    <row r="349" spans="2:9">
      <c r="B349" s="105">
        <v>342</v>
      </c>
      <c r="C349" s="3"/>
      <c r="D349" s="11"/>
      <c r="E349" s="28"/>
      <c r="F349" s="29"/>
      <c r="G349" s="32"/>
      <c r="H349" s="33"/>
      <c r="I349" s="106"/>
    </row>
    <row r="350" spans="2:9">
      <c r="B350" s="105">
        <v>343</v>
      </c>
      <c r="C350" s="3"/>
      <c r="D350" s="11"/>
      <c r="E350" s="28"/>
      <c r="F350" s="29"/>
      <c r="G350" s="32"/>
      <c r="H350" s="33"/>
      <c r="I350" s="106"/>
    </row>
    <row r="351" spans="2:9">
      <c r="B351" s="105">
        <v>344</v>
      </c>
      <c r="C351" s="3"/>
      <c r="D351" s="11"/>
      <c r="E351" s="28"/>
      <c r="F351" s="29"/>
      <c r="G351" s="32"/>
      <c r="H351" s="33"/>
      <c r="I351" s="106"/>
    </row>
    <row r="352" spans="2:9">
      <c r="B352" s="105">
        <v>345</v>
      </c>
      <c r="C352" s="3"/>
      <c r="D352" s="11"/>
      <c r="E352" s="28"/>
      <c r="F352" s="29"/>
      <c r="G352" s="32"/>
      <c r="H352" s="33"/>
      <c r="I352" s="106"/>
    </row>
    <row r="353" spans="2:9">
      <c r="B353" s="105">
        <v>346</v>
      </c>
      <c r="C353" s="3"/>
      <c r="D353" s="11"/>
      <c r="E353" s="28"/>
      <c r="F353" s="29"/>
      <c r="G353" s="32"/>
      <c r="H353" s="33"/>
      <c r="I353" s="106"/>
    </row>
    <row r="354" spans="2:9">
      <c r="B354" s="105">
        <v>347</v>
      </c>
      <c r="C354" s="3"/>
      <c r="D354" s="11"/>
      <c r="E354" s="28"/>
      <c r="F354" s="29"/>
      <c r="G354" s="32"/>
      <c r="H354" s="33"/>
      <c r="I354" s="106"/>
    </row>
    <row r="355" spans="2:9">
      <c r="B355" s="105">
        <v>348</v>
      </c>
      <c r="C355" s="3"/>
      <c r="D355" s="11"/>
      <c r="E355" s="28"/>
      <c r="F355" s="29"/>
      <c r="G355" s="32"/>
      <c r="H355" s="33"/>
      <c r="I355" s="106"/>
    </row>
    <row r="356" spans="2:9">
      <c r="B356" s="105">
        <v>349</v>
      </c>
      <c r="C356" s="3"/>
      <c r="D356" s="11"/>
      <c r="E356" s="28"/>
      <c r="F356" s="29"/>
      <c r="G356" s="32"/>
      <c r="H356" s="33"/>
      <c r="I356" s="106"/>
    </row>
    <row r="357" spans="2:9">
      <c r="B357" s="105">
        <v>350</v>
      </c>
      <c r="C357" s="3"/>
      <c r="D357" s="11"/>
      <c r="E357" s="28"/>
      <c r="F357" s="29"/>
      <c r="G357" s="32"/>
      <c r="H357" s="33"/>
      <c r="I357" s="106"/>
    </row>
    <row r="358" spans="2:9">
      <c r="B358" s="105">
        <v>351</v>
      </c>
      <c r="C358" s="3"/>
      <c r="D358" s="11"/>
      <c r="E358" s="28"/>
      <c r="F358" s="29"/>
      <c r="G358" s="32"/>
      <c r="H358" s="33"/>
      <c r="I358" s="106"/>
    </row>
    <row r="359" spans="2:9">
      <c r="B359" s="105">
        <v>352</v>
      </c>
      <c r="C359" s="3"/>
      <c r="D359" s="11"/>
      <c r="E359" s="28"/>
      <c r="F359" s="29"/>
      <c r="G359" s="32"/>
      <c r="H359" s="33"/>
      <c r="I359" s="106"/>
    </row>
    <row r="360" spans="2:9">
      <c r="B360" s="105">
        <v>353</v>
      </c>
      <c r="C360" s="3"/>
      <c r="D360" s="11"/>
      <c r="E360" s="28"/>
      <c r="F360" s="29"/>
      <c r="G360" s="32"/>
      <c r="H360" s="33"/>
      <c r="I360" s="106"/>
    </row>
    <row r="361" spans="2:9">
      <c r="B361" s="105">
        <v>354</v>
      </c>
      <c r="C361" s="3"/>
      <c r="D361" s="11"/>
      <c r="E361" s="28"/>
      <c r="F361" s="29"/>
      <c r="G361" s="32"/>
      <c r="H361" s="33"/>
      <c r="I361" s="106"/>
    </row>
    <row r="362" spans="2:9">
      <c r="B362" s="105">
        <v>355</v>
      </c>
      <c r="C362" s="3"/>
      <c r="D362" s="11"/>
      <c r="E362" s="28"/>
      <c r="F362" s="29"/>
      <c r="G362" s="32"/>
      <c r="H362" s="33"/>
      <c r="I362" s="106"/>
    </row>
    <row r="363" spans="2:9">
      <c r="B363" s="105">
        <v>356</v>
      </c>
      <c r="C363" s="3"/>
      <c r="D363" s="11"/>
      <c r="E363" s="28"/>
      <c r="F363" s="29"/>
      <c r="G363" s="32"/>
      <c r="H363" s="33"/>
      <c r="I363" s="106"/>
    </row>
    <row r="364" spans="2:9">
      <c r="B364" s="105">
        <v>357</v>
      </c>
      <c r="C364" s="3"/>
      <c r="D364" s="11"/>
      <c r="E364" s="28"/>
      <c r="F364" s="29"/>
      <c r="G364" s="32"/>
      <c r="H364" s="33"/>
      <c r="I364" s="106"/>
    </row>
    <row r="365" spans="2:9">
      <c r="B365" s="105">
        <v>358</v>
      </c>
      <c r="C365" s="3"/>
      <c r="D365" s="11"/>
      <c r="E365" s="28"/>
      <c r="F365" s="29"/>
      <c r="G365" s="32"/>
      <c r="H365" s="33"/>
      <c r="I365" s="106"/>
    </row>
    <row r="366" spans="2:9">
      <c r="B366" s="105">
        <v>359</v>
      </c>
      <c r="C366" s="3"/>
      <c r="D366" s="11"/>
      <c r="E366" s="28"/>
      <c r="F366" s="29"/>
      <c r="G366" s="32"/>
      <c r="H366" s="33"/>
      <c r="I366" s="106"/>
    </row>
    <row r="367" spans="2:9">
      <c r="B367" s="105">
        <v>360</v>
      </c>
      <c r="C367" s="3"/>
      <c r="D367" s="11"/>
      <c r="E367" s="28"/>
      <c r="F367" s="29"/>
      <c r="G367" s="32"/>
      <c r="H367" s="33"/>
      <c r="I367" s="106"/>
    </row>
    <row r="368" spans="2:9">
      <c r="B368" s="105">
        <v>361</v>
      </c>
      <c r="C368" s="3"/>
      <c r="D368" s="11"/>
      <c r="E368" s="28"/>
      <c r="F368" s="29"/>
      <c r="G368" s="32"/>
      <c r="H368" s="33"/>
      <c r="I368" s="106"/>
    </row>
    <row r="369" spans="2:9">
      <c r="B369" s="105">
        <v>362</v>
      </c>
      <c r="C369" s="3"/>
      <c r="D369" s="11"/>
      <c r="E369" s="28"/>
      <c r="F369" s="29"/>
      <c r="G369" s="32"/>
      <c r="H369" s="33"/>
      <c r="I369" s="106"/>
    </row>
    <row r="370" spans="2:9">
      <c r="B370" s="105">
        <v>363</v>
      </c>
      <c r="C370" s="3"/>
      <c r="D370" s="11"/>
      <c r="E370" s="28"/>
      <c r="F370" s="29"/>
      <c r="G370" s="32"/>
      <c r="H370" s="33"/>
      <c r="I370" s="106"/>
    </row>
    <row r="371" spans="2:9">
      <c r="B371" s="105">
        <v>364</v>
      </c>
      <c r="C371" s="3"/>
      <c r="D371" s="11"/>
      <c r="E371" s="28"/>
      <c r="F371" s="29"/>
      <c r="G371" s="32"/>
      <c r="H371" s="33"/>
      <c r="I371" s="106"/>
    </row>
    <row r="372" spans="2:9">
      <c r="B372" s="105">
        <v>365</v>
      </c>
      <c r="C372" s="3"/>
      <c r="D372" s="11"/>
      <c r="E372" s="28"/>
      <c r="F372" s="29"/>
      <c r="G372" s="32"/>
      <c r="H372" s="33"/>
      <c r="I372" s="106"/>
    </row>
    <row r="373" spans="2:9">
      <c r="B373" s="105">
        <v>366</v>
      </c>
      <c r="C373" s="3"/>
      <c r="D373" s="11"/>
      <c r="E373" s="28"/>
      <c r="F373" s="29"/>
      <c r="G373" s="32"/>
      <c r="H373" s="33"/>
      <c r="I373" s="106"/>
    </row>
    <row r="374" spans="2:9">
      <c r="B374" s="105">
        <v>367</v>
      </c>
      <c r="C374" s="3"/>
      <c r="D374" s="11"/>
      <c r="E374" s="28"/>
      <c r="F374" s="29"/>
      <c r="G374" s="32"/>
      <c r="H374" s="33"/>
      <c r="I374" s="106"/>
    </row>
    <row r="375" spans="2:9">
      <c r="B375" s="105">
        <v>368</v>
      </c>
      <c r="C375" s="3"/>
      <c r="D375" s="11"/>
      <c r="E375" s="28"/>
      <c r="F375" s="29"/>
      <c r="G375" s="32"/>
      <c r="H375" s="33"/>
      <c r="I375" s="106"/>
    </row>
    <row r="376" spans="2:9">
      <c r="B376" s="105">
        <v>369</v>
      </c>
      <c r="C376" s="3"/>
      <c r="D376" s="11"/>
      <c r="E376" s="28"/>
      <c r="F376" s="29"/>
      <c r="G376" s="32"/>
      <c r="H376" s="33"/>
      <c r="I376" s="106"/>
    </row>
    <row r="377" spans="2:9">
      <c r="B377" s="105">
        <v>370</v>
      </c>
      <c r="C377" s="3"/>
      <c r="D377" s="11"/>
      <c r="E377" s="28"/>
      <c r="F377" s="29"/>
      <c r="G377" s="32"/>
      <c r="H377" s="33"/>
      <c r="I377" s="106"/>
    </row>
    <row r="378" spans="2:9">
      <c r="B378" s="105">
        <v>371</v>
      </c>
      <c r="C378" s="3"/>
      <c r="D378" s="11"/>
      <c r="E378" s="28"/>
      <c r="F378" s="29"/>
      <c r="G378" s="32"/>
      <c r="H378" s="33"/>
      <c r="I378" s="106"/>
    </row>
    <row r="379" spans="2:9">
      <c r="B379" s="105">
        <v>372</v>
      </c>
      <c r="C379" s="3"/>
      <c r="D379" s="11"/>
      <c r="E379" s="28"/>
      <c r="F379" s="29"/>
      <c r="G379" s="32"/>
      <c r="H379" s="33"/>
      <c r="I379" s="106"/>
    </row>
    <row r="380" spans="2:9">
      <c r="B380" s="105">
        <v>373</v>
      </c>
      <c r="C380" s="3"/>
      <c r="D380" s="11"/>
      <c r="E380" s="28"/>
      <c r="F380" s="29"/>
      <c r="G380" s="32"/>
      <c r="H380" s="33"/>
      <c r="I380" s="106"/>
    </row>
    <row r="381" spans="2:9">
      <c r="B381" s="105">
        <v>374</v>
      </c>
      <c r="C381" s="3"/>
      <c r="D381" s="11"/>
      <c r="E381" s="28"/>
      <c r="F381" s="29"/>
      <c r="G381" s="32"/>
      <c r="H381" s="33"/>
      <c r="I381" s="106"/>
    </row>
    <row r="382" spans="2:9">
      <c r="B382" s="105">
        <v>375</v>
      </c>
      <c r="C382" s="3"/>
      <c r="D382" s="11"/>
      <c r="E382" s="28"/>
      <c r="F382" s="29"/>
      <c r="G382" s="32"/>
      <c r="H382" s="33"/>
      <c r="I382" s="106"/>
    </row>
    <row r="383" spans="2:9">
      <c r="B383" s="105">
        <v>376</v>
      </c>
      <c r="C383" s="3"/>
      <c r="D383" s="11"/>
      <c r="E383" s="28"/>
      <c r="F383" s="29"/>
      <c r="G383" s="32"/>
      <c r="H383" s="33"/>
      <c r="I383" s="106"/>
    </row>
    <row r="384" spans="2:9">
      <c r="B384" s="105">
        <v>377</v>
      </c>
      <c r="C384" s="3"/>
      <c r="D384" s="11"/>
      <c r="E384" s="28"/>
      <c r="F384" s="29"/>
      <c r="G384" s="32"/>
      <c r="H384" s="33"/>
      <c r="I384" s="106"/>
    </row>
    <row r="385" spans="2:9">
      <c r="B385" s="105">
        <v>378</v>
      </c>
      <c r="C385" s="3"/>
      <c r="D385" s="11"/>
      <c r="E385" s="28"/>
      <c r="F385" s="29"/>
      <c r="G385" s="32"/>
      <c r="H385" s="33"/>
      <c r="I385" s="106"/>
    </row>
    <row r="386" spans="2:9">
      <c r="B386" s="105">
        <v>379</v>
      </c>
      <c r="C386" s="3"/>
      <c r="D386" s="11"/>
      <c r="E386" s="28"/>
      <c r="F386" s="29"/>
      <c r="G386" s="32"/>
      <c r="H386" s="33"/>
      <c r="I386" s="106"/>
    </row>
    <row r="387" spans="2:9">
      <c r="B387" s="105">
        <v>380</v>
      </c>
      <c r="C387" s="3"/>
      <c r="D387" s="11"/>
      <c r="E387" s="28"/>
      <c r="F387" s="29"/>
      <c r="G387" s="32"/>
      <c r="H387" s="33"/>
      <c r="I387" s="106"/>
    </row>
    <row r="388" spans="2:9">
      <c r="B388" s="105">
        <v>381</v>
      </c>
      <c r="C388" s="3"/>
      <c r="D388" s="11"/>
      <c r="E388" s="28"/>
      <c r="F388" s="29"/>
      <c r="G388" s="32"/>
      <c r="H388" s="33"/>
      <c r="I388" s="106"/>
    </row>
    <row r="389" spans="2:9">
      <c r="B389" s="105">
        <v>382</v>
      </c>
      <c r="C389" s="3"/>
      <c r="D389" s="11"/>
      <c r="E389" s="28"/>
      <c r="F389" s="29"/>
      <c r="G389" s="32"/>
      <c r="H389" s="33"/>
      <c r="I389" s="106"/>
    </row>
    <row r="390" spans="2:9">
      <c r="B390" s="105">
        <v>383</v>
      </c>
      <c r="C390" s="3"/>
      <c r="D390" s="11"/>
      <c r="E390" s="28"/>
      <c r="F390" s="29"/>
      <c r="G390" s="32"/>
      <c r="H390" s="33"/>
      <c r="I390" s="106"/>
    </row>
    <row r="391" spans="2:9">
      <c r="B391" s="105">
        <v>384</v>
      </c>
      <c r="C391" s="3"/>
      <c r="D391" s="11"/>
      <c r="E391" s="28"/>
      <c r="F391" s="29"/>
      <c r="G391" s="32"/>
      <c r="H391" s="33"/>
      <c r="I391" s="106"/>
    </row>
    <row r="392" spans="2:9">
      <c r="B392" s="105">
        <v>385</v>
      </c>
      <c r="C392" s="3"/>
      <c r="D392" s="11"/>
      <c r="E392" s="28"/>
      <c r="F392" s="29"/>
      <c r="G392" s="32"/>
      <c r="H392" s="33"/>
      <c r="I392" s="106"/>
    </row>
    <row r="393" spans="2:9">
      <c r="B393" s="105">
        <v>386</v>
      </c>
      <c r="C393" s="3"/>
      <c r="D393" s="11"/>
      <c r="E393" s="28"/>
      <c r="F393" s="29"/>
      <c r="G393" s="32"/>
      <c r="H393" s="33"/>
      <c r="I393" s="106"/>
    </row>
    <row r="394" spans="2:9">
      <c r="B394" s="105">
        <v>387</v>
      </c>
      <c r="C394" s="3"/>
      <c r="D394" s="11"/>
      <c r="E394" s="28"/>
      <c r="F394" s="29"/>
      <c r="G394" s="32"/>
      <c r="H394" s="33"/>
      <c r="I394" s="106"/>
    </row>
    <row r="395" spans="2:9">
      <c r="B395" s="105">
        <v>388</v>
      </c>
      <c r="C395" s="3"/>
      <c r="D395" s="11"/>
      <c r="E395" s="28"/>
      <c r="F395" s="29"/>
      <c r="G395" s="32"/>
      <c r="H395" s="33"/>
      <c r="I395" s="106"/>
    </row>
    <row r="396" spans="2:9">
      <c r="B396" s="105">
        <v>389</v>
      </c>
    </row>
    <row r="397" spans="2:9">
      <c r="B397" s="105">
        <v>390</v>
      </c>
    </row>
    <row r="398" spans="2:9">
      <c r="B398" s="105">
        <v>391</v>
      </c>
    </row>
    <row r="399" spans="2:9">
      <c r="B399" s="105">
        <v>392</v>
      </c>
    </row>
    <row r="400" spans="2:9">
      <c r="B400" s="105">
        <v>393</v>
      </c>
    </row>
    <row r="401" spans="2:2">
      <c r="B401" s="105">
        <v>394</v>
      </c>
    </row>
    <row r="402" spans="2:2">
      <c r="B402" s="105">
        <v>395</v>
      </c>
    </row>
    <row r="403" spans="2:2">
      <c r="B403" s="105">
        <v>396</v>
      </c>
    </row>
    <row r="404" spans="2:2">
      <c r="B404" s="105">
        <v>397</v>
      </c>
    </row>
    <row r="405" spans="2:2">
      <c r="B405" s="105">
        <v>398</v>
      </c>
    </row>
    <row r="406" spans="2:2">
      <c r="B406" s="105">
        <v>399</v>
      </c>
    </row>
    <row r="407" spans="2:2">
      <c r="B407" s="105">
        <v>400</v>
      </c>
    </row>
    <row r="408" spans="2:2">
      <c r="B408" s="105">
        <v>401</v>
      </c>
    </row>
    <row r="409" spans="2:2">
      <c r="B409" s="105">
        <v>402</v>
      </c>
    </row>
    <row r="410" spans="2:2">
      <c r="B410" s="105">
        <v>403</v>
      </c>
    </row>
    <row r="411" spans="2:2">
      <c r="B411" s="105">
        <v>404</v>
      </c>
    </row>
    <row r="412" spans="2:2">
      <c r="B412" s="105">
        <v>405</v>
      </c>
    </row>
    <row r="413" spans="2:2">
      <c r="B413" s="105">
        <v>406</v>
      </c>
    </row>
    <row r="414" spans="2:2">
      <c r="B414" s="105">
        <v>407</v>
      </c>
    </row>
    <row r="415" spans="2:2">
      <c r="B415" s="105">
        <v>408</v>
      </c>
    </row>
    <row r="416" spans="2:2">
      <c r="B416" s="105">
        <v>409</v>
      </c>
    </row>
    <row r="417" spans="2:2">
      <c r="B417" s="105">
        <v>410</v>
      </c>
    </row>
    <row r="418" spans="2:2">
      <c r="B418" s="105">
        <v>411</v>
      </c>
    </row>
    <row r="419" spans="2:2">
      <c r="B419" s="105">
        <v>412</v>
      </c>
    </row>
    <row r="420" spans="2:2">
      <c r="B420" s="105">
        <v>413</v>
      </c>
    </row>
    <row r="421" spans="2:2">
      <c r="B421" s="105">
        <v>414</v>
      </c>
    </row>
    <row r="422" spans="2:2">
      <c r="B422" s="105">
        <v>415</v>
      </c>
    </row>
    <row r="423" spans="2:2">
      <c r="B423" s="105">
        <v>416</v>
      </c>
    </row>
    <row r="424" spans="2:2">
      <c r="B424" s="105">
        <v>417</v>
      </c>
    </row>
    <row r="425" spans="2:2">
      <c r="B425" s="105">
        <v>418</v>
      </c>
    </row>
    <row r="426" spans="2:2">
      <c r="B426" s="105">
        <v>419</v>
      </c>
    </row>
    <row r="427" spans="2:2">
      <c r="B427" s="105">
        <v>420</v>
      </c>
    </row>
    <row r="428" spans="2:2">
      <c r="B428" s="105">
        <v>421</v>
      </c>
    </row>
    <row r="429" spans="2:2">
      <c r="B429" s="105">
        <v>422</v>
      </c>
    </row>
    <row r="430" spans="2:2">
      <c r="B430" s="105">
        <v>423</v>
      </c>
    </row>
    <row r="431" spans="2:2">
      <c r="B431" s="105">
        <v>424</v>
      </c>
    </row>
    <row r="432" spans="2:2">
      <c r="B432" s="105">
        <v>425</v>
      </c>
    </row>
    <row r="433" spans="2:2">
      <c r="B433" s="105">
        <v>426</v>
      </c>
    </row>
    <row r="434" spans="2:2">
      <c r="B434" s="105">
        <v>427</v>
      </c>
    </row>
    <row r="435" spans="2:2">
      <c r="B435" s="105">
        <v>428</v>
      </c>
    </row>
    <row r="436" spans="2:2">
      <c r="B436" s="105">
        <v>429</v>
      </c>
    </row>
    <row r="437" spans="2:2">
      <c r="B437" s="105">
        <v>430</v>
      </c>
    </row>
    <row r="438" spans="2:2">
      <c r="B438" s="105">
        <v>431</v>
      </c>
    </row>
    <row r="439" spans="2:2">
      <c r="B439" s="105">
        <v>432</v>
      </c>
    </row>
    <row r="440" spans="2:2">
      <c r="B440" s="105">
        <v>433</v>
      </c>
    </row>
    <row r="441" spans="2:2">
      <c r="B441" s="105">
        <v>434</v>
      </c>
    </row>
    <row r="442" spans="2:2">
      <c r="B442" s="105">
        <v>435</v>
      </c>
    </row>
    <row r="443" spans="2:2">
      <c r="B443" s="105">
        <v>436</v>
      </c>
    </row>
    <row r="444" spans="2:2">
      <c r="B444" s="105">
        <v>437</v>
      </c>
    </row>
    <row r="445" spans="2:2">
      <c r="B445" s="105">
        <v>438</v>
      </c>
    </row>
    <row r="446" spans="2:2">
      <c r="B446" s="105">
        <v>439</v>
      </c>
    </row>
    <row r="447" spans="2:2">
      <c r="B447" s="105">
        <v>440</v>
      </c>
    </row>
    <row r="448" spans="2:2">
      <c r="B448" s="105">
        <v>441</v>
      </c>
    </row>
    <row r="449" spans="2:2">
      <c r="B449" s="105">
        <v>442</v>
      </c>
    </row>
    <row r="450" spans="2:2">
      <c r="B450" s="105">
        <v>443</v>
      </c>
    </row>
    <row r="451" spans="2:2">
      <c r="B451" s="105">
        <v>444</v>
      </c>
    </row>
    <row r="452" spans="2:2">
      <c r="B452" s="105">
        <v>445</v>
      </c>
    </row>
    <row r="453" spans="2:2">
      <c r="B453" s="105">
        <v>446</v>
      </c>
    </row>
    <row r="454" spans="2:2">
      <c r="B454" s="105">
        <v>447</v>
      </c>
    </row>
    <row r="455" spans="2:2">
      <c r="B455" s="105">
        <v>448</v>
      </c>
    </row>
    <row r="456" spans="2:2">
      <c r="B456" s="105">
        <v>449</v>
      </c>
    </row>
    <row r="457" spans="2:2">
      <c r="B457" s="105">
        <v>450</v>
      </c>
    </row>
    <row r="458" spans="2:2">
      <c r="B458" s="105">
        <v>451</v>
      </c>
    </row>
    <row r="459" spans="2:2">
      <c r="B459" s="105">
        <v>452</v>
      </c>
    </row>
    <row r="460" spans="2:2">
      <c r="B460" s="105">
        <v>453</v>
      </c>
    </row>
    <row r="461" spans="2:2">
      <c r="B461" s="105">
        <v>454</v>
      </c>
    </row>
    <row r="462" spans="2:2">
      <c r="B462" s="105">
        <v>455</v>
      </c>
    </row>
    <row r="463" spans="2:2">
      <c r="B463" s="105">
        <v>456</v>
      </c>
    </row>
    <row r="464" spans="2:2">
      <c r="B464" s="105">
        <v>457</v>
      </c>
    </row>
    <row r="465" spans="2:2">
      <c r="B465" s="105">
        <v>458</v>
      </c>
    </row>
    <row r="466" spans="2:2">
      <c r="B466" s="105">
        <v>459</v>
      </c>
    </row>
    <row r="467" spans="2:2">
      <c r="B467" s="105">
        <v>460</v>
      </c>
    </row>
    <row r="468" spans="2:2">
      <c r="B468" s="105">
        <v>461</v>
      </c>
    </row>
    <row r="469" spans="2:2">
      <c r="B469" s="105">
        <v>462</v>
      </c>
    </row>
    <row r="470" spans="2:2">
      <c r="B470" s="105">
        <v>463</v>
      </c>
    </row>
    <row r="471" spans="2:2">
      <c r="B471" s="105">
        <v>464</v>
      </c>
    </row>
    <row r="472" spans="2:2">
      <c r="B472" s="105">
        <v>465</v>
      </c>
    </row>
    <row r="473" spans="2:2">
      <c r="B473" s="105">
        <v>466</v>
      </c>
    </row>
    <row r="474" spans="2:2">
      <c r="B474" s="105">
        <v>467</v>
      </c>
    </row>
    <row r="475" spans="2:2">
      <c r="B475" s="105">
        <v>468</v>
      </c>
    </row>
    <row r="476" spans="2:2">
      <c r="B476" s="105">
        <v>469</v>
      </c>
    </row>
    <row r="477" spans="2:2">
      <c r="B477" s="105">
        <v>470</v>
      </c>
    </row>
    <row r="478" spans="2:2">
      <c r="B478" s="105">
        <v>471</v>
      </c>
    </row>
    <row r="479" spans="2:2">
      <c r="B479" s="105">
        <v>472</v>
      </c>
    </row>
    <row r="480" spans="2:2">
      <c r="B480" s="105">
        <v>473</v>
      </c>
    </row>
    <row r="481" spans="2:2">
      <c r="B481" s="105">
        <v>474</v>
      </c>
    </row>
    <row r="482" spans="2:2">
      <c r="B482" s="105">
        <v>475</v>
      </c>
    </row>
    <row r="483" spans="2:2">
      <c r="B483" s="105">
        <v>476</v>
      </c>
    </row>
    <row r="484" spans="2:2">
      <c r="B484" s="105">
        <v>477</v>
      </c>
    </row>
    <row r="485" spans="2:2">
      <c r="B485" s="105">
        <v>478</v>
      </c>
    </row>
    <row r="486" spans="2:2">
      <c r="B486" s="105">
        <v>479</v>
      </c>
    </row>
    <row r="487" spans="2:2">
      <c r="B487" s="105">
        <v>480</v>
      </c>
    </row>
    <row r="488" spans="2:2">
      <c r="B488" s="105">
        <v>481</v>
      </c>
    </row>
    <row r="489" spans="2:2">
      <c r="B489" s="105">
        <v>482</v>
      </c>
    </row>
    <row r="490" spans="2:2">
      <c r="B490" s="105">
        <v>483</v>
      </c>
    </row>
    <row r="491" spans="2:2">
      <c r="B491" s="105">
        <v>484</v>
      </c>
    </row>
    <row r="492" spans="2:2">
      <c r="B492" s="105">
        <v>485</v>
      </c>
    </row>
    <row r="493" spans="2:2">
      <c r="B493" s="105">
        <v>486</v>
      </c>
    </row>
    <row r="494" spans="2:2">
      <c r="B494" s="105">
        <v>487</v>
      </c>
    </row>
    <row r="495" spans="2:2">
      <c r="B495" s="105">
        <v>488</v>
      </c>
    </row>
    <row r="496" spans="2:2">
      <c r="B496" s="105">
        <v>489</v>
      </c>
    </row>
    <row r="497" spans="2:2">
      <c r="B497" s="105">
        <v>490</v>
      </c>
    </row>
    <row r="498" spans="2:2">
      <c r="B498" s="105">
        <v>491</v>
      </c>
    </row>
    <row r="499" spans="2:2">
      <c r="B499" s="105">
        <v>492</v>
      </c>
    </row>
    <row r="500" spans="2:2">
      <c r="B500" s="105">
        <v>493</v>
      </c>
    </row>
    <row r="501" spans="2:2">
      <c r="B501" s="105">
        <v>494</v>
      </c>
    </row>
    <row r="502" spans="2:2">
      <c r="B502" s="105">
        <v>495</v>
      </c>
    </row>
    <row r="503" spans="2:2">
      <c r="B503" s="105">
        <v>496</v>
      </c>
    </row>
    <row r="504" spans="2:2">
      <c r="B504" s="105">
        <v>497</v>
      </c>
    </row>
    <row r="505" spans="2:2">
      <c r="B505" s="105">
        <v>498</v>
      </c>
    </row>
    <row r="506" spans="2:2">
      <c r="B506" s="105">
        <v>499</v>
      </c>
    </row>
    <row r="507" spans="2:2">
      <c r="B507" s="105">
        <v>500</v>
      </c>
    </row>
    <row r="508" spans="2:2">
      <c r="B508" s="105">
        <v>501</v>
      </c>
    </row>
    <row r="509" spans="2:2">
      <c r="B509" s="105">
        <v>502</v>
      </c>
    </row>
    <row r="510" spans="2:2">
      <c r="B510" s="105">
        <v>503</v>
      </c>
    </row>
    <row r="511" spans="2:2">
      <c r="B511" s="105">
        <v>504</v>
      </c>
    </row>
    <row r="512" spans="2:2">
      <c r="B512" s="105">
        <v>505</v>
      </c>
    </row>
    <row r="513" spans="2:2">
      <c r="B513" s="105">
        <v>506</v>
      </c>
    </row>
    <row r="514" spans="2:2">
      <c r="B514" s="105">
        <v>507</v>
      </c>
    </row>
    <row r="515" spans="2:2">
      <c r="B515" s="105">
        <v>508</v>
      </c>
    </row>
    <row r="516" spans="2:2">
      <c r="B516" s="105">
        <v>509</v>
      </c>
    </row>
    <row r="517" spans="2:2">
      <c r="B517" s="105">
        <v>510</v>
      </c>
    </row>
    <row r="518" spans="2:2">
      <c r="B518" s="105">
        <v>511</v>
      </c>
    </row>
    <row r="519" spans="2:2">
      <c r="B519" s="105">
        <v>512</v>
      </c>
    </row>
    <row r="520" spans="2:2">
      <c r="B520" s="105">
        <v>513</v>
      </c>
    </row>
    <row r="521" spans="2:2">
      <c r="B521" s="105">
        <v>514</v>
      </c>
    </row>
    <row r="522" spans="2:2">
      <c r="B522" s="105">
        <v>515</v>
      </c>
    </row>
    <row r="523" spans="2:2">
      <c r="B523" s="105">
        <v>516</v>
      </c>
    </row>
    <row r="524" spans="2:2">
      <c r="B524" s="105">
        <v>517</v>
      </c>
    </row>
    <row r="525" spans="2:2">
      <c r="B525" s="105">
        <v>518</v>
      </c>
    </row>
    <row r="526" spans="2:2">
      <c r="B526" s="105">
        <v>519</v>
      </c>
    </row>
    <row r="527" spans="2:2">
      <c r="B527" s="105">
        <v>520</v>
      </c>
    </row>
    <row r="528" spans="2:2">
      <c r="B528" s="105">
        <v>521</v>
      </c>
    </row>
    <row r="529" spans="2:2">
      <c r="B529" s="105">
        <v>522</v>
      </c>
    </row>
    <row r="530" spans="2:2">
      <c r="B530" s="105">
        <v>523</v>
      </c>
    </row>
    <row r="531" spans="2:2">
      <c r="B531" s="105">
        <v>524</v>
      </c>
    </row>
    <row r="532" spans="2:2">
      <c r="B532" s="105">
        <v>525</v>
      </c>
    </row>
    <row r="533" spans="2:2">
      <c r="B533" s="105">
        <v>526</v>
      </c>
    </row>
    <row r="534" spans="2:2">
      <c r="B534" s="105">
        <v>527</v>
      </c>
    </row>
    <row r="535" spans="2:2">
      <c r="B535" s="105">
        <v>528</v>
      </c>
    </row>
    <row r="536" spans="2:2">
      <c r="B536" s="105">
        <v>529</v>
      </c>
    </row>
    <row r="537" spans="2:2">
      <c r="B537" s="105">
        <v>530</v>
      </c>
    </row>
    <row r="538" spans="2:2">
      <c r="B538" s="105">
        <v>531</v>
      </c>
    </row>
    <row r="539" spans="2:2">
      <c r="B539" s="105">
        <v>532</v>
      </c>
    </row>
    <row r="540" spans="2:2">
      <c r="B540" s="105">
        <v>533</v>
      </c>
    </row>
    <row r="541" spans="2:2">
      <c r="B541" s="105">
        <v>534</v>
      </c>
    </row>
    <row r="542" spans="2:2">
      <c r="B542" s="105">
        <v>535</v>
      </c>
    </row>
    <row r="543" spans="2:2">
      <c r="B543" s="105">
        <v>536</v>
      </c>
    </row>
    <row r="544" spans="2:2">
      <c r="B544" s="105">
        <v>537</v>
      </c>
    </row>
    <row r="545" spans="2:2">
      <c r="B545" s="105">
        <v>538</v>
      </c>
    </row>
    <row r="546" spans="2:2">
      <c r="B546" s="105">
        <v>539</v>
      </c>
    </row>
    <row r="547" spans="2:2">
      <c r="B547" s="105">
        <v>540</v>
      </c>
    </row>
    <row r="548" spans="2:2">
      <c r="B548" s="105">
        <v>541</v>
      </c>
    </row>
    <row r="549" spans="2:2">
      <c r="B549" s="105">
        <v>542</v>
      </c>
    </row>
    <row r="550" spans="2:2">
      <c r="B550" s="105">
        <v>543</v>
      </c>
    </row>
    <row r="551" spans="2:2">
      <c r="B551" s="105">
        <v>544</v>
      </c>
    </row>
    <row r="552" spans="2:2">
      <c r="B552" s="105">
        <v>545</v>
      </c>
    </row>
    <row r="553" spans="2:2">
      <c r="B553" s="105">
        <v>546</v>
      </c>
    </row>
    <row r="554" spans="2:2">
      <c r="B554" s="105">
        <v>547</v>
      </c>
    </row>
    <row r="555" spans="2:2">
      <c r="B555" s="105">
        <v>548</v>
      </c>
    </row>
    <row r="556" spans="2:2">
      <c r="B556" s="105">
        <v>549</v>
      </c>
    </row>
    <row r="557" spans="2:2">
      <c r="B557" s="105">
        <v>550</v>
      </c>
    </row>
    <row r="558" spans="2:2">
      <c r="B558" s="105">
        <v>551</v>
      </c>
    </row>
    <row r="559" spans="2:2">
      <c r="B559" s="105">
        <v>552</v>
      </c>
    </row>
    <row r="560" spans="2:2">
      <c r="B560" s="105">
        <v>553</v>
      </c>
    </row>
    <row r="561" spans="2:2">
      <c r="B561" s="105">
        <v>554</v>
      </c>
    </row>
    <row r="562" spans="2:2">
      <c r="B562" s="105">
        <v>555</v>
      </c>
    </row>
    <row r="563" spans="2:2">
      <c r="B563" s="105">
        <v>556</v>
      </c>
    </row>
    <row r="564" spans="2:2">
      <c r="B564" s="105">
        <v>557</v>
      </c>
    </row>
    <row r="565" spans="2:2">
      <c r="B565" s="105">
        <v>558</v>
      </c>
    </row>
    <row r="566" spans="2:2">
      <c r="B566" s="105">
        <v>559</v>
      </c>
    </row>
    <row r="567" spans="2:2">
      <c r="B567" s="105">
        <v>560</v>
      </c>
    </row>
    <row r="568" spans="2:2">
      <c r="B568" s="105">
        <v>561</v>
      </c>
    </row>
    <row r="569" spans="2:2">
      <c r="B569" s="105">
        <v>562</v>
      </c>
    </row>
    <row r="570" spans="2:2">
      <c r="B570" s="105">
        <v>563</v>
      </c>
    </row>
    <row r="571" spans="2:2">
      <c r="B571" s="105">
        <v>564</v>
      </c>
    </row>
    <row r="572" spans="2:2">
      <c r="B572" s="105">
        <v>565</v>
      </c>
    </row>
    <row r="573" spans="2:2">
      <c r="B573" s="105">
        <v>566</v>
      </c>
    </row>
    <row r="574" spans="2:2">
      <c r="B574" s="105">
        <v>567</v>
      </c>
    </row>
    <row r="575" spans="2:2">
      <c r="B575" s="105">
        <v>568</v>
      </c>
    </row>
    <row r="576" spans="2:2">
      <c r="B576" s="105">
        <v>569</v>
      </c>
    </row>
    <row r="577" spans="2:2">
      <c r="B577" s="105">
        <v>570</v>
      </c>
    </row>
    <row r="578" spans="2:2">
      <c r="B578" s="105">
        <v>571</v>
      </c>
    </row>
    <row r="579" spans="2:2">
      <c r="B579" s="105">
        <v>572</v>
      </c>
    </row>
    <row r="580" spans="2:2">
      <c r="B580" s="105">
        <v>573</v>
      </c>
    </row>
    <row r="581" spans="2:2">
      <c r="B581" s="105">
        <v>574</v>
      </c>
    </row>
    <row r="582" spans="2:2">
      <c r="B582" s="105">
        <v>575</v>
      </c>
    </row>
    <row r="583" spans="2:2">
      <c r="B583" s="105">
        <v>576</v>
      </c>
    </row>
    <row r="584" spans="2:2">
      <c r="B584" s="105">
        <v>577</v>
      </c>
    </row>
    <row r="585" spans="2:2">
      <c r="B585" s="105">
        <v>578</v>
      </c>
    </row>
    <row r="586" spans="2:2">
      <c r="B586" s="105">
        <v>579</v>
      </c>
    </row>
    <row r="587" spans="2:2">
      <c r="B587" s="105">
        <v>580</v>
      </c>
    </row>
    <row r="588" spans="2:2">
      <c r="B588" s="105">
        <v>581</v>
      </c>
    </row>
    <row r="589" spans="2:2">
      <c r="B589" s="105">
        <v>582</v>
      </c>
    </row>
    <row r="590" spans="2:2">
      <c r="B590" s="105">
        <v>583</v>
      </c>
    </row>
    <row r="591" spans="2:2">
      <c r="B591" s="105">
        <v>584</v>
      </c>
    </row>
    <row r="592" spans="2:2">
      <c r="B592" s="105">
        <v>585</v>
      </c>
    </row>
    <row r="593" spans="2:2">
      <c r="B593" s="105">
        <v>586</v>
      </c>
    </row>
    <row r="594" spans="2:2">
      <c r="B594" s="105">
        <v>587</v>
      </c>
    </row>
    <row r="595" spans="2:2">
      <c r="B595" s="105">
        <v>588</v>
      </c>
    </row>
    <row r="596" spans="2:2">
      <c r="B596" s="105">
        <v>589</v>
      </c>
    </row>
    <row r="597" spans="2:2">
      <c r="B597" s="105">
        <v>590</v>
      </c>
    </row>
    <row r="598" spans="2:2">
      <c r="B598" s="105">
        <v>591</v>
      </c>
    </row>
    <row r="599" spans="2:2">
      <c r="B599" s="105">
        <v>592</v>
      </c>
    </row>
    <row r="600" spans="2:2">
      <c r="B600" s="105">
        <v>593</v>
      </c>
    </row>
    <row r="601" spans="2:2">
      <c r="B601" s="105">
        <v>594</v>
      </c>
    </row>
    <row r="602" spans="2:2">
      <c r="B602" s="105">
        <v>595</v>
      </c>
    </row>
    <row r="603" spans="2:2">
      <c r="B603" s="105">
        <v>596</v>
      </c>
    </row>
    <row r="604" spans="2:2">
      <c r="B604" s="105">
        <v>597</v>
      </c>
    </row>
    <row r="605" spans="2:2">
      <c r="B605" s="105">
        <v>598</v>
      </c>
    </row>
    <row r="606" spans="2:2">
      <c r="B606" s="105">
        <v>599</v>
      </c>
    </row>
    <row r="607" spans="2:2">
      <c r="B607" s="105">
        <v>600</v>
      </c>
    </row>
    <row r="608" spans="2:2">
      <c r="B608" s="105">
        <v>601</v>
      </c>
    </row>
    <row r="609" spans="2:2">
      <c r="B609" s="105">
        <v>602</v>
      </c>
    </row>
    <row r="610" spans="2:2">
      <c r="B610" s="105">
        <v>603</v>
      </c>
    </row>
    <row r="611" spans="2:2">
      <c r="B611" s="105">
        <v>604</v>
      </c>
    </row>
    <row r="612" spans="2:2">
      <c r="B612" s="105">
        <v>605</v>
      </c>
    </row>
    <row r="613" spans="2:2">
      <c r="B613" s="105">
        <v>606</v>
      </c>
    </row>
    <row r="614" spans="2:2">
      <c r="B614" s="105">
        <v>607</v>
      </c>
    </row>
    <row r="615" spans="2:2">
      <c r="B615" s="105">
        <v>608</v>
      </c>
    </row>
    <row r="616" spans="2:2">
      <c r="B616" s="105">
        <v>609</v>
      </c>
    </row>
    <row r="617" spans="2:2">
      <c r="B617" s="105">
        <v>610</v>
      </c>
    </row>
    <row r="618" spans="2:2">
      <c r="B618" s="105">
        <v>611</v>
      </c>
    </row>
    <row r="619" spans="2:2">
      <c r="B619" s="105">
        <v>612</v>
      </c>
    </row>
    <row r="620" spans="2:2">
      <c r="B620" s="105">
        <v>613</v>
      </c>
    </row>
    <row r="621" spans="2:2">
      <c r="B621" s="105">
        <v>614</v>
      </c>
    </row>
    <row r="622" spans="2:2">
      <c r="B622" s="105">
        <v>615</v>
      </c>
    </row>
    <row r="623" spans="2:2">
      <c r="B623" s="105">
        <v>616</v>
      </c>
    </row>
    <row r="624" spans="2:2">
      <c r="B624" s="105">
        <v>617</v>
      </c>
    </row>
    <row r="625" spans="2:2">
      <c r="B625" s="105">
        <v>618</v>
      </c>
    </row>
    <row r="626" spans="2:2">
      <c r="B626" s="105">
        <v>619</v>
      </c>
    </row>
    <row r="627" spans="2:2">
      <c r="B627" s="105">
        <v>620</v>
      </c>
    </row>
    <row r="628" spans="2:2">
      <c r="B628" s="105">
        <v>621</v>
      </c>
    </row>
    <row r="629" spans="2:2">
      <c r="B629" s="105">
        <v>622</v>
      </c>
    </row>
    <row r="630" spans="2:2">
      <c r="B630" s="105">
        <v>623</v>
      </c>
    </row>
    <row r="631" spans="2:2">
      <c r="B631" s="105">
        <v>624</v>
      </c>
    </row>
    <row r="632" spans="2:2">
      <c r="B632" s="105">
        <v>625</v>
      </c>
    </row>
    <row r="633" spans="2:2">
      <c r="B633" s="105">
        <v>626</v>
      </c>
    </row>
    <row r="634" spans="2:2">
      <c r="B634" s="105">
        <v>627</v>
      </c>
    </row>
    <row r="635" spans="2:2">
      <c r="B635" s="105">
        <v>628</v>
      </c>
    </row>
    <row r="636" spans="2:2">
      <c r="B636" s="105">
        <v>629</v>
      </c>
    </row>
    <row r="637" spans="2:2">
      <c r="B637" s="105">
        <v>630</v>
      </c>
    </row>
    <row r="638" spans="2:2">
      <c r="B638" s="105">
        <v>631</v>
      </c>
    </row>
    <row r="639" spans="2:2">
      <c r="B639" s="105">
        <v>632</v>
      </c>
    </row>
    <row r="640" spans="2:2">
      <c r="B640" s="105">
        <v>633</v>
      </c>
    </row>
    <row r="641" spans="2:2">
      <c r="B641" s="105">
        <v>634</v>
      </c>
    </row>
    <row r="642" spans="2:2">
      <c r="B642" s="105">
        <v>635</v>
      </c>
    </row>
    <row r="643" spans="2:2">
      <c r="B643" s="105">
        <v>636</v>
      </c>
    </row>
    <row r="644" spans="2:2">
      <c r="B644" s="105">
        <v>637</v>
      </c>
    </row>
    <row r="645" spans="2:2">
      <c r="B645" s="105">
        <v>638</v>
      </c>
    </row>
    <row r="646" spans="2:2">
      <c r="B646" s="105">
        <v>639</v>
      </c>
    </row>
    <row r="647" spans="2:2">
      <c r="B647" s="105">
        <v>640</v>
      </c>
    </row>
    <row r="648" spans="2:2">
      <c r="B648" s="105">
        <v>641</v>
      </c>
    </row>
    <row r="649" spans="2:2">
      <c r="B649" s="105">
        <v>642</v>
      </c>
    </row>
    <row r="650" spans="2:2">
      <c r="B650" s="105">
        <v>643</v>
      </c>
    </row>
    <row r="651" spans="2:2">
      <c r="B651" s="105">
        <v>644</v>
      </c>
    </row>
    <row r="652" spans="2:2">
      <c r="B652" s="105">
        <v>645</v>
      </c>
    </row>
    <row r="653" spans="2:2">
      <c r="B653" s="105">
        <v>646</v>
      </c>
    </row>
    <row r="654" spans="2:2">
      <c r="B654" s="105">
        <v>647</v>
      </c>
    </row>
    <row r="655" spans="2:2">
      <c r="B655" s="105">
        <v>648</v>
      </c>
    </row>
    <row r="656" spans="2:2">
      <c r="B656" s="105">
        <v>649</v>
      </c>
    </row>
    <row r="657" spans="2:2">
      <c r="B657" s="105">
        <v>650</v>
      </c>
    </row>
    <row r="658" spans="2:2">
      <c r="B658" s="105">
        <v>651</v>
      </c>
    </row>
    <row r="659" spans="2:2">
      <c r="B659" s="105">
        <v>652</v>
      </c>
    </row>
    <row r="660" spans="2:2">
      <c r="B660" s="105">
        <v>653</v>
      </c>
    </row>
    <row r="661" spans="2:2">
      <c r="B661" s="105">
        <v>654</v>
      </c>
    </row>
    <row r="662" spans="2:2">
      <c r="B662" s="105">
        <v>655</v>
      </c>
    </row>
    <row r="663" spans="2:2">
      <c r="B663" s="105">
        <v>656</v>
      </c>
    </row>
    <row r="664" spans="2:2">
      <c r="B664" s="105">
        <v>657</v>
      </c>
    </row>
    <row r="665" spans="2:2">
      <c r="B665" s="105">
        <v>658</v>
      </c>
    </row>
    <row r="666" spans="2:2">
      <c r="B666" s="105">
        <v>659</v>
      </c>
    </row>
    <row r="667" spans="2:2">
      <c r="B667" s="105">
        <v>660</v>
      </c>
    </row>
    <row r="668" spans="2:2">
      <c r="B668" s="105">
        <v>661</v>
      </c>
    </row>
    <row r="669" spans="2:2">
      <c r="B669" s="105">
        <v>662</v>
      </c>
    </row>
    <row r="670" spans="2:2">
      <c r="B670" s="105">
        <v>663</v>
      </c>
    </row>
    <row r="671" spans="2:2">
      <c r="B671" s="105">
        <v>664</v>
      </c>
    </row>
    <row r="672" spans="2:2">
      <c r="B672" s="105">
        <v>665</v>
      </c>
    </row>
    <row r="673" spans="2:2">
      <c r="B673" s="105">
        <v>666</v>
      </c>
    </row>
    <row r="674" spans="2:2">
      <c r="B674" s="105">
        <v>667</v>
      </c>
    </row>
    <row r="675" spans="2:2">
      <c r="B675" s="105">
        <v>668</v>
      </c>
    </row>
    <row r="676" spans="2:2">
      <c r="B676" s="105">
        <v>669</v>
      </c>
    </row>
    <row r="677" spans="2:2">
      <c r="B677" s="105">
        <v>670</v>
      </c>
    </row>
    <row r="678" spans="2:2">
      <c r="B678" s="105">
        <v>671</v>
      </c>
    </row>
    <row r="679" spans="2:2">
      <c r="B679" s="105">
        <v>672</v>
      </c>
    </row>
    <row r="680" spans="2:2">
      <c r="B680" s="105">
        <v>673</v>
      </c>
    </row>
    <row r="681" spans="2:2">
      <c r="B681" s="105">
        <v>674</v>
      </c>
    </row>
    <row r="682" spans="2:2">
      <c r="B682" s="105">
        <v>675</v>
      </c>
    </row>
    <row r="683" spans="2:2">
      <c r="B683" s="105">
        <v>676</v>
      </c>
    </row>
    <row r="684" spans="2:2">
      <c r="B684" s="105">
        <v>677</v>
      </c>
    </row>
    <row r="685" spans="2:2">
      <c r="B685" s="105">
        <v>678</v>
      </c>
    </row>
    <row r="686" spans="2:2">
      <c r="B686" s="105">
        <v>679</v>
      </c>
    </row>
    <row r="687" spans="2:2">
      <c r="B687" s="105">
        <v>680</v>
      </c>
    </row>
    <row r="688" spans="2:2">
      <c r="B688" s="105">
        <v>681</v>
      </c>
    </row>
    <row r="689" spans="2:2">
      <c r="B689" s="105">
        <v>682</v>
      </c>
    </row>
    <row r="690" spans="2:2">
      <c r="B690" s="105">
        <v>683</v>
      </c>
    </row>
    <row r="691" spans="2:2">
      <c r="B691" s="105">
        <v>684</v>
      </c>
    </row>
    <row r="692" spans="2:2">
      <c r="B692" s="105">
        <v>685</v>
      </c>
    </row>
    <row r="693" spans="2:2">
      <c r="B693" s="105">
        <v>686</v>
      </c>
    </row>
    <row r="694" spans="2:2">
      <c r="B694" s="105">
        <v>687</v>
      </c>
    </row>
    <row r="695" spans="2:2">
      <c r="B695" s="105">
        <v>688</v>
      </c>
    </row>
    <row r="696" spans="2:2">
      <c r="B696" s="105">
        <v>689</v>
      </c>
    </row>
    <row r="697" spans="2:2">
      <c r="B697" s="105">
        <v>690</v>
      </c>
    </row>
    <row r="698" spans="2:2">
      <c r="B698" s="105">
        <v>691</v>
      </c>
    </row>
    <row r="699" spans="2:2">
      <c r="B699" s="105">
        <v>692</v>
      </c>
    </row>
    <row r="700" spans="2:2">
      <c r="B700" s="105">
        <v>693</v>
      </c>
    </row>
    <row r="701" spans="2:2">
      <c r="B701" s="105">
        <v>694</v>
      </c>
    </row>
    <row r="702" spans="2:2">
      <c r="B702" s="105">
        <v>695</v>
      </c>
    </row>
    <row r="703" spans="2:2">
      <c r="B703" s="105">
        <v>696</v>
      </c>
    </row>
    <row r="704" spans="2:2">
      <c r="B704" s="105">
        <v>697</v>
      </c>
    </row>
    <row r="705" spans="2:2">
      <c r="B705" s="105">
        <v>698</v>
      </c>
    </row>
    <row r="706" spans="2:2">
      <c r="B706" s="105">
        <v>699</v>
      </c>
    </row>
    <row r="707" spans="2:2">
      <c r="B707" s="105">
        <v>700</v>
      </c>
    </row>
    <row r="708" spans="2:2">
      <c r="B708" s="105">
        <v>701</v>
      </c>
    </row>
    <row r="709" spans="2:2">
      <c r="B709" s="105">
        <v>702</v>
      </c>
    </row>
    <row r="710" spans="2:2">
      <c r="B710" s="105">
        <v>703</v>
      </c>
    </row>
    <row r="711" spans="2:2">
      <c r="B711" s="105">
        <v>704</v>
      </c>
    </row>
    <row r="712" spans="2:2">
      <c r="B712" s="105">
        <v>705</v>
      </c>
    </row>
    <row r="713" spans="2:2">
      <c r="B713" s="105">
        <v>706</v>
      </c>
    </row>
    <row r="714" spans="2:2">
      <c r="B714" s="105">
        <v>707</v>
      </c>
    </row>
    <row r="715" spans="2:2">
      <c r="B715" s="105">
        <v>708</v>
      </c>
    </row>
    <row r="716" spans="2:2">
      <c r="B716" s="105">
        <v>709</v>
      </c>
    </row>
    <row r="717" spans="2:2">
      <c r="B717" s="105">
        <v>710</v>
      </c>
    </row>
    <row r="718" spans="2:2">
      <c r="B718" s="105">
        <v>711</v>
      </c>
    </row>
    <row r="719" spans="2:2">
      <c r="B719" s="105">
        <v>712</v>
      </c>
    </row>
    <row r="720" spans="2:2">
      <c r="B720" s="105">
        <v>713</v>
      </c>
    </row>
    <row r="721" spans="2:2">
      <c r="B721" s="105">
        <v>714</v>
      </c>
    </row>
    <row r="722" spans="2:2">
      <c r="B722" s="105">
        <v>715</v>
      </c>
    </row>
    <row r="723" spans="2:2">
      <c r="B723" s="105">
        <v>716</v>
      </c>
    </row>
    <row r="724" spans="2:2">
      <c r="B724" s="105">
        <v>717</v>
      </c>
    </row>
    <row r="725" spans="2:2">
      <c r="B725" s="105">
        <v>718</v>
      </c>
    </row>
    <row r="726" spans="2:2">
      <c r="B726" s="105">
        <v>719</v>
      </c>
    </row>
    <row r="727" spans="2:2">
      <c r="B727" s="105">
        <v>720</v>
      </c>
    </row>
    <row r="728" spans="2:2">
      <c r="B728" s="105">
        <v>721</v>
      </c>
    </row>
    <row r="729" spans="2:2">
      <c r="B729" s="105">
        <v>722</v>
      </c>
    </row>
    <row r="730" spans="2:2">
      <c r="B730" s="105">
        <v>723</v>
      </c>
    </row>
    <row r="731" spans="2:2">
      <c r="B731" s="105">
        <v>724</v>
      </c>
    </row>
    <row r="732" spans="2:2">
      <c r="B732" s="105">
        <v>725</v>
      </c>
    </row>
    <row r="733" spans="2:2">
      <c r="B733" s="105">
        <v>726</v>
      </c>
    </row>
    <row r="734" spans="2:2">
      <c r="B734" s="105">
        <v>727</v>
      </c>
    </row>
    <row r="735" spans="2:2">
      <c r="B735" s="105">
        <v>728</v>
      </c>
    </row>
    <row r="736" spans="2:2">
      <c r="B736" s="105">
        <v>729</v>
      </c>
    </row>
    <row r="737" spans="2:2">
      <c r="B737" s="105">
        <v>730</v>
      </c>
    </row>
    <row r="738" spans="2:2">
      <c r="B738" s="105">
        <v>731</v>
      </c>
    </row>
    <row r="739" spans="2:2">
      <c r="B739" s="105">
        <v>732</v>
      </c>
    </row>
    <row r="740" spans="2:2">
      <c r="B740" s="105">
        <v>733</v>
      </c>
    </row>
    <row r="741" spans="2:2">
      <c r="B741" s="105">
        <v>734</v>
      </c>
    </row>
    <row r="742" spans="2:2">
      <c r="B742" s="105">
        <v>735</v>
      </c>
    </row>
    <row r="743" spans="2:2">
      <c r="B743" s="105">
        <v>736</v>
      </c>
    </row>
    <row r="744" spans="2:2">
      <c r="B744" s="105">
        <v>737</v>
      </c>
    </row>
    <row r="745" spans="2:2">
      <c r="B745" s="105">
        <v>738</v>
      </c>
    </row>
    <row r="746" spans="2:2">
      <c r="B746" s="105">
        <v>739</v>
      </c>
    </row>
    <row r="747" spans="2:2">
      <c r="B747" s="105">
        <v>740</v>
      </c>
    </row>
    <row r="748" spans="2:2">
      <c r="B748" s="105">
        <v>741</v>
      </c>
    </row>
    <row r="749" spans="2:2">
      <c r="B749" s="105">
        <v>742</v>
      </c>
    </row>
    <row r="750" spans="2:2">
      <c r="B750" s="105">
        <v>743</v>
      </c>
    </row>
    <row r="751" spans="2:2">
      <c r="B751" s="105">
        <v>744</v>
      </c>
    </row>
    <row r="752" spans="2:2">
      <c r="B752" s="105">
        <v>745</v>
      </c>
    </row>
    <row r="753" spans="2:2">
      <c r="B753" s="105">
        <v>746</v>
      </c>
    </row>
    <row r="754" spans="2:2">
      <c r="B754" s="105">
        <v>747</v>
      </c>
    </row>
    <row r="755" spans="2:2">
      <c r="B755" s="105">
        <v>748</v>
      </c>
    </row>
    <row r="756" spans="2:2">
      <c r="B756" s="105">
        <v>749</v>
      </c>
    </row>
    <row r="757" spans="2:2">
      <c r="B757" s="105">
        <v>750</v>
      </c>
    </row>
    <row r="758" spans="2:2">
      <c r="B758" s="105">
        <v>751</v>
      </c>
    </row>
    <row r="759" spans="2:2">
      <c r="B759" s="105">
        <v>752</v>
      </c>
    </row>
    <row r="760" spans="2:2">
      <c r="B760" s="105">
        <v>753</v>
      </c>
    </row>
    <row r="761" spans="2:2">
      <c r="B761" s="105">
        <v>754</v>
      </c>
    </row>
    <row r="762" spans="2:2">
      <c r="B762" s="105">
        <v>755</v>
      </c>
    </row>
    <row r="763" spans="2:2">
      <c r="B763" s="105">
        <v>756</v>
      </c>
    </row>
    <row r="764" spans="2:2">
      <c r="B764" s="105">
        <v>757</v>
      </c>
    </row>
    <row r="765" spans="2:2">
      <c r="B765" s="105">
        <v>758</v>
      </c>
    </row>
    <row r="766" spans="2:2">
      <c r="B766" s="105">
        <v>759</v>
      </c>
    </row>
    <row r="767" spans="2:2">
      <c r="B767" s="105">
        <v>760</v>
      </c>
    </row>
    <row r="768" spans="2:2">
      <c r="B768" s="105">
        <v>761</v>
      </c>
    </row>
    <row r="769" spans="2:2">
      <c r="B769" s="105">
        <v>762</v>
      </c>
    </row>
    <row r="770" spans="2:2">
      <c r="B770" s="105">
        <v>763</v>
      </c>
    </row>
    <row r="771" spans="2:2">
      <c r="B771" s="105">
        <v>764</v>
      </c>
    </row>
    <row r="772" spans="2:2">
      <c r="B772" s="105">
        <v>765</v>
      </c>
    </row>
    <row r="773" spans="2:2">
      <c r="B773" s="105">
        <v>766</v>
      </c>
    </row>
    <row r="774" spans="2:2">
      <c r="B774" s="105">
        <v>767</v>
      </c>
    </row>
    <row r="775" spans="2:2">
      <c r="B775" s="105">
        <v>768</v>
      </c>
    </row>
    <row r="776" spans="2:2">
      <c r="B776" s="105">
        <v>769</v>
      </c>
    </row>
    <row r="777" spans="2:2">
      <c r="B777" s="105">
        <v>770</v>
      </c>
    </row>
    <row r="778" spans="2:2">
      <c r="B778" s="105">
        <v>771</v>
      </c>
    </row>
    <row r="779" spans="2:2">
      <c r="B779" s="105">
        <v>772</v>
      </c>
    </row>
    <row r="780" spans="2:2">
      <c r="B780" s="105">
        <v>773</v>
      </c>
    </row>
    <row r="781" spans="2:2">
      <c r="B781" s="105">
        <v>774</v>
      </c>
    </row>
    <row r="782" spans="2:2">
      <c r="B782" s="105">
        <v>775</v>
      </c>
    </row>
    <row r="783" spans="2:2">
      <c r="B783" s="105">
        <v>776</v>
      </c>
    </row>
    <row r="784" spans="2:2">
      <c r="B784" s="105">
        <v>777</v>
      </c>
    </row>
    <row r="785" spans="2:2">
      <c r="B785" s="105">
        <v>778</v>
      </c>
    </row>
    <row r="786" spans="2:2">
      <c r="B786" s="105">
        <v>779</v>
      </c>
    </row>
    <row r="787" spans="2:2">
      <c r="B787" s="105">
        <v>780</v>
      </c>
    </row>
    <row r="788" spans="2:2">
      <c r="B788" s="105">
        <v>781</v>
      </c>
    </row>
    <row r="789" spans="2:2">
      <c r="B789" s="105">
        <v>782</v>
      </c>
    </row>
    <row r="790" spans="2:2">
      <c r="B790" s="105">
        <v>783</v>
      </c>
    </row>
    <row r="791" spans="2:2">
      <c r="B791" s="105">
        <v>784</v>
      </c>
    </row>
    <row r="792" spans="2:2">
      <c r="B792" s="105">
        <v>785</v>
      </c>
    </row>
    <row r="793" spans="2:2">
      <c r="B793" s="105">
        <v>786</v>
      </c>
    </row>
    <row r="794" spans="2:2">
      <c r="B794" s="105">
        <v>787</v>
      </c>
    </row>
    <row r="795" spans="2:2">
      <c r="B795" s="105">
        <v>788</v>
      </c>
    </row>
    <row r="796" spans="2:2">
      <c r="B796" s="105">
        <v>789</v>
      </c>
    </row>
    <row r="797" spans="2:2">
      <c r="B797" s="105">
        <v>790</v>
      </c>
    </row>
    <row r="798" spans="2:2">
      <c r="B798" s="105">
        <v>791</v>
      </c>
    </row>
    <row r="799" spans="2:2">
      <c r="B799" s="105">
        <v>792</v>
      </c>
    </row>
    <row r="800" spans="2:2">
      <c r="B800" s="105">
        <v>793</v>
      </c>
    </row>
    <row r="801" spans="2:2">
      <c r="B801" s="105">
        <v>794</v>
      </c>
    </row>
    <row r="802" spans="2:2">
      <c r="B802" s="105">
        <v>795</v>
      </c>
    </row>
    <row r="803" spans="2:2">
      <c r="B803" s="105">
        <v>796</v>
      </c>
    </row>
    <row r="804" spans="2:2">
      <c r="B804" s="105">
        <v>797</v>
      </c>
    </row>
    <row r="805" spans="2:2">
      <c r="B805" s="105">
        <v>798</v>
      </c>
    </row>
    <row r="806" spans="2:2">
      <c r="B806" s="105">
        <v>799</v>
      </c>
    </row>
    <row r="807" spans="2:2">
      <c r="B807" s="105">
        <v>800</v>
      </c>
    </row>
    <row r="808" spans="2:2">
      <c r="B808" s="105">
        <v>801</v>
      </c>
    </row>
    <row r="809" spans="2:2">
      <c r="B809" s="105">
        <v>802</v>
      </c>
    </row>
    <row r="810" spans="2:2">
      <c r="B810" s="105">
        <v>803</v>
      </c>
    </row>
    <row r="811" spans="2:2">
      <c r="B811" s="105">
        <v>804</v>
      </c>
    </row>
    <row r="812" spans="2:2">
      <c r="B812" s="105">
        <v>805</v>
      </c>
    </row>
    <row r="813" spans="2:2">
      <c r="B813" s="105">
        <v>806</v>
      </c>
    </row>
    <row r="814" spans="2:2">
      <c r="B814" s="105">
        <v>807</v>
      </c>
    </row>
    <row r="815" spans="2:2">
      <c r="B815" s="105">
        <v>808</v>
      </c>
    </row>
    <row r="816" spans="2:2">
      <c r="B816" s="105">
        <v>809</v>
      </c>
    </row>
    <row r="817" spans="2:2">
      <c r="B817" s="105">
        <v>810</v>
      </c>
    </row>
    <row r="818" spans="2:2">
      <c r="B818" s="105">
        <v>811</v>
      </c>
    </row>
    <row r="819" spans="2:2">
      <c r="B819" s="105">
        <v>812</v>
      </c>
    </row>
    <row r="820" spans="2:2">
      <c r="B820" s="105">
        <v>813</v>
      </c>
    </row>
    <row r="821" spans="2:2">
      <c r="B821" s="105">
        <v>814</v>
      </c>
    </row>
    <row r="822" spans="2:2">
      <c r="B822" s="105">
        <v>815</v>
      </c>
    </row>
    <row r="823" spans="2:2">
      <c r="B823" s="105">
        <v>816</v>
      </c>
    </row>
    <row r="824" spans="2:2">
      <c r="B824" s="105">
        <v>817</v>
      </c>
    </row>
    <row r="825" spans="2:2">
      <c r="B825" s="105">
        <v>818</v>
      </c>
    </row>
    <row r="826" spans="2:2">
      <c r="B826" s="105">
        <v>819</v>
      </c>
    </row>
    <row r="827" spans="2:2">
      <c r="B827" s="105">
        <v>820</v>
      </c>
    </row>
    <row r="828" spans="2:2">
      <c r="B828" s="105">
        <v>821</v>
      </c>
    </row>
    <row r="829" spans="2:2">
      <c r="B829" s="105">
        <v>822</v>
      </c>
    </row>
    <row r="830" spans="2:2">
      <c r="B830" s="105">
        <v>823</v>
      </c>
    </row>
    <row r="831" spans="2:2">
      <c r="B831" s="105">
        <v>824</v>
      </c>
    </row>
    <row r="832" spans="2:2">
      <c r="B832" s="105">
        <v>825</v>
      </c>
    </row>
    <row r="833" spans="2:2">
      <c r="B833" s="105">
        <v>826</v>
      </c>
    </row>
    <row r="834" spans="2:2">
      <c r="B834" s="105">
        <v>827</v>
      </c>
    </row>
    <row r="835" spans="2:2">
      <c r="B835" s="105">
        <v>828</v>
      </c>
    </row>
    <row r="836" spans="2:2">
      <c r="B836" s="105">
        <v>829</v>
      </c>
    </row>
    <row r="837" spans="2:2">
      <c r="B837" s="105">
        <v>830</v>
      </c>
    </row>
    <row r="838" spans="2:2">
      <c r="B838" s="105">
        <v>831</v>
      </c>
    </row>
    <row r="839" spans="2:2">
      <c r="B839" s="105">
        <v>832</v>
      </c>
    </row>
    <row r="840" spans="2:2">
      <c r="B840" s="105">
        <v>833</v>
      </c>
    </row>
    <row r="841" spans="2:2">
      <c r="B841" s="105">
        <v>834</v>
      </c>
    </row>
    <row r="842" spans="2:2">
      <c r="B842" s="105">
        <v>835</v>
      </c>
    </row>
    <row r="843" spans="2:2">
      <c r="B843" s="105">
        <v>836</v>
      </c>
    </row>
    <row r="844" spans="2:2">
      <c r="B844" s="105">
        <v>837</v>
      </c>
    </row>
    <row r="845" spans="2:2">
      <c r="B845" s="105">
        <v>838</v>
      </c>
    </row>
    <row r="846" spans="2:2">
      <c r="B846" s="105">
        <v>839</v>
      </c>
    </row>
    <row r="847" spans="2:2">
      <c r="B847" s="105">
        <v>840</v>
      </c>
    </row>
    <row r="848" spans="2:2">
      <c r="B848" s="105">
        <v>841</v>
      </c>
    </row>
    <row r="849" spans="2:2">
      <c r="B849" s="105">
        <v>842</v>
      </c>
    </row>
    <row r="850" spans="2:2">
      <c r="B850" s="105">
        <v>843</v>
      </c>
    </row>
    <row r="851" spans="2:2">
      <c r="B851" s="105">
        <v>844</v>
      </c>
    </row>
    <row r="852" spans="2:2">
      <c r="B852" s="105">
        <v>845</v>
      </c>
    </row>
    <row r="853" spans="2:2">
      <c r="B853" s="105">
        <v>846</v>
      </c>
    </row>
    <row r="854" spans="2:2">
      <c r="B854" s="105">
        <v>847</v>
      </c>
    </row>
    <row r="855" spans="2:2">
      <c r="B855" s="105">
        <v>848</v>
      </c>
    </row>
    <row r="856" spans="2:2">
      <c r="B856" s="105">
        <v>849</v>
      </c>
    </row>
    <row r="857" spans="2:2">
      <c r="B857" s="105">
        <v>850</v>
      </c>
    </row>
    <row r="858" spans="2:2">
      <c r="B858" s="105">
        <v>851</v>
      </c>
    </row>
    <row r="859" spans="2:2">
      <c r="B859" s="105">
        <v>852</v>
      </c>
    </row>
    <row r="860" spans="2:2">
      <c r="B860" s="105">
        <v>853</v>
      </c>
    </row>
    <row r="861" spans="2:2">
      <c r="B861" s="105">
        <v>854</v>
      </c>
    </row>
    <row r="862" spans="2:2">
      <c r="B862" s="105">
        <v>855</v>
      </c>
    </row>
    <row r="863" spans="2:2">
      <c r="B863" s="105">
        <v>856</v>
      </c>
    </row>
    <row r="864" spans="2:2">
      <c r="B864" s="105">
        <v>857</v>
      </c>
    </row>
    <row r="865" spans="2:2">
      <c r="B865" s="105">
        <v>858</v>
      </c>
    </row>
    <row r="866" spans="2:2">
      <c r="B866" s="105">
        <v>859</v>
      </c>
    </row>
    <row r="867" spans="2:2">
      <c r="B867" s="105">
        <v>860</v>
      </c>
    </row>
    <row r="868" spans="2:2">
      <c r="B868" s="105">
        <v>861</v>
      </c>
    </row>
    <row r="869" spans="2:2">
      <c r="B869" s="105">
        <v>862</v>
      </c>
    </row>
    <row r="870" spans="2:2">
      <c r="B870" s="105">
        <v>863</v>
      </c>
    </row>
    <row r="871" spans="2:2">
      <c r="B871" s="105">
        <v>864</v>
      </c>
    </row>
    <row r="872" spans="2:2">
      <c r="B872" s="105">
        <v>865</v>
      </c>
    </row>
    <row r="873" spans="2:2">
      <c r="B873" s="105">
        <v>866</v>
      </c>
    </row>
    <row r="874" spans="2:2">
      <c r="B874" s="105">
        <v>867</v>
      </c>
    </row>
    <row r="875" spans="2:2">
      <c r="B875" s="105">
        <v>868</v>
      </c>
    </row>
    <row r="876" spans="2:2">
      <c r="B876" s="105">
        <v>869</v>
      </c>
    </row>
    <row r="877" spans="2:2">
      <c r="B877" s="105">
        <v>870</v>
      </c>
    </row>
    <row r="878" spans="2:2">
      <c r="B878" s="105">
        <v>871</v>
      </c>
    </row>
    <row r="879" spans="2:2">
      <c r="B879" s="105">
        <v>872</v>
      </c>
    </row>
    <row r="880" spans="2:2">
      <c r="B880" s="105">
        <v>873</v>
      </c>
    </row>
    <row r="881" spans="2:2">
      <c r="B881" s="105">
        <v>874</v>
      </c>
    </row>
    <row r="882" spans="2:2">
      <c r="B882" s="105">
        <v>875</v>
      </c>
    </row>
    <row r="883" spans="2:2">
      <c r="B883" s="105">
        <v>876</v>
      </c>
    </row>
    <row r="884" spans="2:2">
      <c r="B884" s="105">
        <v>877</v>
      </c>
    </row>
    <row r="885" spans="2:2">
      <c r="B885" s="105">
        <v>878</v>
      </c>
    </row>
    <row r="886" spans="2:2">
      <c r="B886" s="105">
        <v>879</v>
      </c>
    </row>
    <row r="887" spans="2:2">
      <c r="B887" s="105">
        <v>880</v>
      </c>
    </row>
    <row r="888" spans="2:2">
      <c r="B888" s="105">
        <v>881</v>
      </c>
    </row>
    <row r="889" spans="2:2">
      <c r="B889" s="105">
        <v>882</v>
      </c>
    </row>
    <row r="890" spans="2:2">
      <c r="B890" s="105">
        <v>883</v>
      </c>
    </row>
    <row r="891" spans="2:2">
      <c r="B891" s="105">
        <v>884</v>
      </c>
    </row>
    <row r="892" spans="2:2">
      <c r="B892" s="105">
        <v>885</v>
      </c>
    </row>
    <row r="893" spans="2:2">
      <c r="B893" s="105">
        <v>886</v>
      </c>
    </row>
    <row r="894" spans="2:2">
      <c r="B894" s="105">
        <v>887</v>
      </c>
    </row>
    <row r="895" spans="2:2">
      <c r="B895" s="105">
        <v>888</v>
      </c>
    </row>
    <row r="896" spans="2:2">
      <c r="B896" s="105">
        <v>889</v>
      </c>
    </row>
    <row r="897" spans="2:2">
      <c r="B897" s="105">
        <v>890</v>
      </c>
    </row>
    <row r="898" spans="2:2">
      <c r="B898" s="105">
        <v>891</v>
      </c>
    </row>
    <row r="899" spans="2:2">
      <c r="B899" s="105">
        <v>892</v>
      </c>
    </row>
    <row r="900" spans="2:2">
      <c r="B900" s="105">
        <v>893</v>
      </c>
    </row>
    <row r="901" spans="2:2">
      <c r="B901" s="105">
        <v>894</v>
      </c>
    </row>
    <row r="902" spans="2:2">
      <c r="B902" s="105">
        <v>895</v>
      </c>
    </row>
    <row r="903" spans="2:2">
      <c r="B903" s="105">
        <v>896</v>
      </c>
    </row>
    <row r="904" spans="2:2">
      <c r="B904" s="105">
        <v>897</v>
      </c>
    </row>
    <row r="905" spans="2:2">
      <c r="B905" s="105">
        <v>898</v>
      </c>
    </row>
    <row r="906" spans="2:2">
      <c r="B906" s="105">
        <v>899</v>
      </c>
    </row>
    <row r="907" spans="2:2">
      <c r="B907" s="105">
        <v>900</v>
      </c>
    </row>
    <row r="908" spans="2:2">
      <c r="B908" s="105">
        <v>901</v>
      </c>
    </row>
    <row r="909" spans="2:2">
      <c r="B909" s="105">
        <v>902</v>
      </c>
    </row>
    <row r="910" spans="2:2">
      <c r="B910" s="105">
        <v>903</v>
      </c>
    </row>
    <row r="911" spans="2:2">
      <c r="B911" s="105">
        <v>904</v>
      </c>
    </row>
    <row r="912" spans="2:2">
      <c r="B912" s="105">
        <v>905</v>
      </c>
    </row>
    <row r="913" spans="2:2">
      <c r="B913" s="105">
        <v>906</v>
      </c>
    </row>
    <row r="914" spans="2:2">
      <c r="B914" s="105">
        <v>907</v>
      </c>
    </row>
    <row r="915" spans="2:2">
      <c r="B915" s="105">
        <v>908</v>
      </c>
    </row>
    <row r="916" spans="2:2">
      <c r="B916" s="105">
        <v>909</v>
      </c>
    </row>
    <row r="917" spans="2:2">
      <c r="B917" s="105">
        <v>910</v>
      </c>
    </row>
    <row r="918" spans="2:2">
      <c r="B918" s="105">
        <v>911</v>
      </c>
    </row>
    <row r="919" spans="2:2">
      <c r="B919" s="105">
        <v>912</v>
      </c>
    </row>
    <row r="920" spans="2:2">
      <c r="B920" s="105">
        <v>913</v>
      </c>
    </row>
    <row r="921" spans="2:2">
      <c r="B921" s="105">
        <v>914</v>
      </c>
    </row>
    <row r="922" spans="2:2">
      <c r="B922" s="105">
        <v>915</v>
      </c>
    </row>
    <row r="923" spans="2:2">
      <c r="B923" s="105">
        <v>916</v>
      </c>
    </row>
    <row r="924" spans="2:2">
      <c r="B924" s="105">
        <v>917</v>
      </c>
    </row>
    <row r="925" spans="2:2">
      <c r="B925" s="105">
        <v>918</v>
      </c>
    </row>
    <row r="926" spans="2:2">
      <c r="B926" s="105">
        <v>919</v>
      </c>
    </row>
    <row r="927" spans="2:2">
      <c r="B927" s="105">
        <v>920</v>
      </c>
    </row>
    <row r="928" spans="2:2">
      <c r="B928" s="105">
        <v>921</v>
      </c>
    </row>
    <row r="929" spans="2:2">
      <c r="B929" s="105">
        <v>922</v>
      </c>
    </row>
    <row r="930" spans="2:2">
      <c r="B930" s="105">
        <v>923</v>
      </c>
    </row>
    <row r="931" spans="2:2">
      <c r="B931" s="105">
        <v>924</v>
      </c>
    </row>
    <row r="932" spans="2:2">
      <c r="B932" s="105">
        <v>925</v>
      </c>
    </row>
    <row r="933" spans="2:2">
      <c r="B933" s="105">
        <v>926</v>
      </c>
    </row>
    <row r="934" spans="2:2">
      <c r="B934" s="105">
        <v>927</v>
      </c>
    </row>
    <row r="935" spans="2:2">
      <c r="B935" s="105">
        <v>928</v>
      </c>
    </row>
    <row r="936" spans="2:2">
      <c r="B936" s="105">
        <v>929</v>
      </c>
    </row>
    <row r="937" spans="2:2">
      <c r="B937" s="105">
        <v>930</v>
      </c>
    </row>
    <row r="938" spans="2:2">
      <c r="B938" s="105">
        <v>931</v>
      </c>
    </row>
    <row r="939" spans="2:2">
      <c r="B939" s="105">
        <v>932</v>
      </c>
    </row>
    <row r="940" spans="2:2">
      <c r="B940" s="105">
        <v>933</v>
      </c>
    </row>
    <row r="941" spans="2:2">
      <c r="B941" s="105">
        <v>934</v>
      </c>
    </row>
    <row r="942" spans="2:2">
      <c r="B942" s="105">
        <v>935</v>
      </c>
    </row>
    <row r="943" spans="2:2">
      <c r="B943" s="105">
        <v>936</v>
      </c>
    </row>
    <row r="944" spans="2:2">
      <c r="B944" s="105">
        <v>937</v>
      </c>
    </row>
    <row r="945" spans="2:2">
      <c r="B945" s="105">
        <v>938</v>
      </c>
    </row>
    <row r="946" spans="2:2">
      <c r="B946" s="105">
        <v>939</v>
      </c>
    </row>
    <row r="947" spans="2:2">
      <c r="B947" s="105">
        <v>940</v>
      </c>
    </row>
    <row r="948" spans="2:2">
      <c r="B948" s="105">
        <v>941</v>
      </c>
    </row>
    <row r="949" spans="2:2">
      <c r="B949" s="105">
        <v>942</v>
      </c>
    </row>
    <row r="950" spans="2:2">
      <c r="B950" s="105">
        <v>943</v>
      </c>
    </row>
    <row r="951" spans="2:2">
      <c r="B951" s="105">
        <v>944</v>
      </c>
    </row>
    <row r="952" spans="2:2">
      <c r="B952" s="105">
        <v>945</v>
      </c>
    </row>
    <row r="953" spans="2:2">
      <c r="B953" s="105">
        <v>946</v>
      </c>
    </row>
    <row r="954" spans="2:2">
      <c r="B954" s="105">
        <v>947</v>
      </c>
    </row>
    <row r="955" spans="2:2">
      <c r="B955" s="105">
        <v>948</v>
      </c>
    </row>
    <row r="956" spans="2:2">
      <c r="B956" s="105">
        <v>949</v>
      </c>
    </row>
    <row r="957" spans="2:2">
      <c r="B957" s="105">
        <v>950</v>
      </c>
    </row>
    <row r="958" spans="2:2">
      <c r="B958" s="105">
        <v>951</v>
      </c>
    </row>
    <row r="959" spans="2:2">
      <c r="B959" s="105">
        <v>952</v>
      </c>
    </row>
    <row r="960" spans="2:2">
      <c r="B960" s="105">
        <v>953</v>
      </c>
    </row>
    <row r="961" spans="2:2">
      <c r="B961" s="105">
        <v>954</v>
      </c>
    </row>
    <row r="962" spans="2:2">
      <c r="B962" s="105">
        <v>955</v>
      </c>
    </row>
    <row r="963" spans="2:2">
      <c r="B963" s="105">
        <v>956</v>
      </c>
    </row>
    <row r="964" spans="2:2">
      <c r="B964" s="105">
        <v>957</v>
      </c>
    </row>
    <row r="965" spans="2:2">
      <c r="B965" s="105">
        <v>958</v>
      </c>
    </row>
    <row r="966" spans="2:2">
      <c r="B966" s="105">
        <v>959</v>
      </c>
    </row>
    <row r="967" spans="2:2">
      <c r="B967" s="105">
        <v>960</v>
      </c>
    </row>
    <row r="968" spans="2:2">
      <c r="B968" s="105">
        <v>961</v>
      </c>
    </row>
    <row r="969" spans="2:2">
      <c r="B969" s="105">
        <v>962</v>
      </c>
    </row>
    <row r="970" spans="2:2">
      <c r="B970" s="105">
        <v>963</v>
      </c>
    </row>
    <row r="971" spans="2:2">
      <c r="B971" s="105">
        <v>964</v>
      </c>
    </row>
    <row r="972" spans="2:2">
      <c r="B972" s="105">
        <v>965</v>
      </c>
    </row>
    <row r="973" spans="2:2">
      <c r="B973" s="105">
        <v>966</v>
      </c>
    </row>
    <row r="974" spans="2:2">
      <c r="B974" s="105">
        <v>967</v>
      </c>
    </row>
    <row r="975" spans="2:2">
      <c r="B975" s="105">
        <v>968</v>
      </c>
    </row>
    <row r="976" spans="2:2">
      <c r="B976" s="105">
        <v>969</v>
      </c>
    </row>
    <row r="977" spans="2:2">
      <c r="B977" s="105">
        <v>970</v>
      </c>
    </row>
    <row r="978" spans="2:2">
      <c r="B978" s="105">
        <v>971</v>
      </c>
    </row>
    <row r="979" spans="2:2">
      <c r="B979" s="105">
        <v>972</v>
      </c>
    </row>
    <row r="980" spans="2:2">
      <c r="B980" s="105">
        <v>973</v>
      </c>
    </row>
    <row r="981" spans="2:2">
      <c r="B981" s="105">
        <v>974</v>
      </c>
    </row>
    <row r="982" spans="2:2">
      <c r="B982" s="105">
        <v>975</v>
      </c>
    </row>
    <row r="983" spans="2:2">
      <c r="B983" s="105">
        <v>976</v>
      </c>
    </row>
    <row r="984" spans="2:2">
      <c r="B984" s="105">
        <v>977</v>
      </c>
    </row>
    <row r="985" spans="2:2">
      <c r="B985" s="105">
        <v>978</v>
      </c>
    </row>
    <row r="986" spans="2:2">
      <c r="B986" s="105">
        <v>979</v>
      </c>
    </row>
    <row r="987" spans="2:2">
      <c r="B987" s="105">
        <v>980</v>
      </c>
    </row>
    <row r="988" spans="2:2">
      <c r="B988" s="105">
        <v>981</v>
      </c>
    </row>
    <row r="989" spans="2:2">
      <c r="B989" s="105">
        <v>982</v>
      </c>
    </row>
    <row r="990" spans="2:2">
      <c r="B990" s="105">
        <v>983</v>
      </c>
    </row>
    <row r="991" spans="2:2">
      <c r="B991" s="105">
        <v>984</v>
      </c>
    </row>
    <row r="992" spans="2:2">
      <c r="B992" s="105">
        <v>985</v>
      </c>
    </row>
    <row r="993" spans="2:2">
      <c r="B993" s="105">
        <v>986</v>
      </c>
    </row>
    <row r="994" spans="2:2">
      <c r="B994" s="105">
        <v>987</v>
      </c>
    </row>
    <row r="995" spans="2:2">
      <c r="B995" s="105">
        <v>988</v>
      </c>
    </row>
    <row r="996" spans="2:2">
      <c r="B996" s="105">
        <v>989</v>
      </c>
    </row>
    <row r="997" spans="2:2">
      <c r="B997" s="105">
        <v>990</v>
      </c>
    </row>
    <row r="998" spans="2:2">
      <c r="B998" s="105">
        <v>991</v>
      </c>
    </row>
    <row r="999" spans="2:2">
      <c r="B999" s="105">
        <v>992</v>
      </c>
    </row>
    <row r="1000" spans="2:2">
      <c r="B1000" s="105">
        <v>993</v>
      </c>
    </row>
    <row r="1001" spans="2:2">
      <c r="B1001" s="105">
        <v>994</v>
      </c>
    </row>
    <row r="1002" spans="2:2">
      <c r="B1002" s="105">
        <v>995</v>
      </c>
    </row>
    <row r="1003" spans="2:2">
      <c r="B1003" s="105">
        <v>996</v>
      </c>
    </row>
    <row r="1004" spans="2:2">
      <c r="B1004" s="105">
        <v>997</v>
      </c>
    </row>
    <row r="1005" spans="2:2">
      <c r="B1005" s="105">
        <v>998</v>
      </c>
    </row>
    <row r="1006" spans="2:2">
      <c r="B1006" s="105">
        <v>999</v>
      </c>
    </row>
    <row r="1007" spans="2:2">
      <c r="B1007" s="105">
        <v>1000</v>
      </c>
    </row>
    <row r="1008" spans="2:2">
      <c r="B1008" s="105">
        <v>1001</v>
      </c>
    </row>
    <row r="1009" spans="2:2">
      <c r="B1009" s="105">
        <v>1002</v>
      </c>
    </row>
    <row r="1010" spans="2:2">
      <c r="B1010" s="105">
        <v>1003</v>
      </c>
    </row>
    <row r="1011" spans="2:2">
      <c r="B1011" s="105">
        <v>1004</v>
      </c>
    </row>
    <row r="1012" spans="2:2">
      <c r="B1012" s="105">
        <v>1005</v>
      </c>
    </row>
    <row r="1013" spans="2:2">
      <c r="B1013" s="105">
        <v>1006</v>
      </c>
    </row>
    <row r="1014" spans="2:2">
      <c r="B1014" s="105">
        <v>1007</v>
      </c>
    </row>
    <row r="1015" spans="2:2">
      <c r="B1015" s="105">
        <v>1008</v>
      </c>
    </row>
    <row r="1016" spans="2:2">
      <c r="B1016" s="105">
        <v>1009</v>
      </c>
    </row>
    <row r="1017" spans="2:2">
      <c r="B1017" s="105">
        <v>1010</v>
      </c>
    </row>
    <row r="1018" spans="2:2">
      <c r="B1018" s="105">
        <v>1011</v>
      </c>
    </row>
    <row r="1019" spans="2:2">
      <c r="B1019" s="105">
        <v>1012</v>
      </c>
    </row>
    <row r="1020" spans="2:2">
      <c r="B1020" s="105">
        <v>1013</v>
      </c>
    </row>
    <row r="1021" spans="2:2">
      <c r="B1021" s="105">
        <v>1014</v>
      </c>
    </row>
    <row r="1022" spans="2:2">
      <c r="B1022" s="105">
        <v>1015</v>
      </c>
    </row>
    <row r="1023" spans="2:2">
      <c r="B1023" s="105">
        <v>1016</v>
      </c>
    </row>
    <row r="1024" spans="2:2">
      <c r="B1024" s="105">
        <v>1017</v>
      </c>
    </row>
    <row r="1025" spans="2:2">
      <c r="B1025" s="105">
        <v>1018</v>
      </c>
    </row>
    <row r="1026" spans="2:2">
      <c r="B1026" s="105">
        <v>1019</v>
      </c>
    </row>
    <row r="1027" spans="2:2">
      <c r="B1027" s="105">
        <v>1020</v>
      </c>
    </row>
    <row r="1028" spans="2:2">
      <c r="B1028" s="105">
        <v>1021</v>
      </c>
    </row>
    <row r="1029" spans="2:2">
      <c r="B1029" s="105">
        <v>1022</v>
      </c>
    </row>
    <row r="1030" spans="2:2">
      <c r="B1030" s="105">
        <v>1023</v>
      </c>
    </row>
    <row r="1031" spans="2:2">
      <c r="B1031" s="105">
        <v>1024</v>
      </c>
    </row>
    <row r="1032" spans="2:2">
      <c r="B1032" s="105">
        <v>1025</v>
      </c>
    </row>
    <row r="1033" spans="2:2">
      <c r="B1033" s="105">
        <v>1026</v>
      </c>
    </row>
    <row r="1034" spans="2:2">
      <c r="B1034" s="105">
        <v>1027</v>
      </c>
    </row>
    <row r="1035" spans="2:2">
      <c r="B1035" s="105">
        <v>1028</v>
      </c>
    </row>
    <row r="1036" spans="2:2">
      <c r="B1036" s="105">
        <v>1029</v>
      </c>
    </row>
    <row r="1037" spans="2:2">
      <c r="B1037" s="105">
        <v>1030</v>
      </c>
    </row>
    <row r="1038" spans="2:2">
      <c r="B1038" s="105">
        <v>1031</v>
      </c>
    </row>
    <row r="1039" spans="2:2">
      <c r="B1039" s="105">
        <v>1032</v>
      </c>
    </row>
    <row r="1040" spans="2:2">
      <c r="B1040" s="105">
        <v>1033</v>
      </c>
    </row>
    <row r="1041" spans="2:2">
      <c r="B1041" s="105">
        <v>1034</v>
      </c>
    </row>
    <row r="1042" spans="2:2">
      <c r="B1042" s="105">
        <v>1035</v>
      </c>
    </row>
    <row r="1043" spans="2:2">
      <c r="B1043" s="105">
        <v>1036</v>
      </c>
    </row>
    <row r="1044" spans="2:2">
      <c r="B1044" s="105">
        <v>1037</v>
      </c>
    </row>
    <row r="1045" spans="2:2">
      <c r="B1045" s="105">
        <v>1038</v>
      </c>
    </row>
    <row r="1046" spans="2:2">
      <c r="B1046" s="105">
        <v>1039</v>
      </c>
    </row>
    <row r="1047" spans="2:2">
      <c r="B1047" s="105">
        <v>1040</v>
      </c>
    </row>
    <row r="1048" spans="2:2">
      <c r="B1048" s="105">
        <v>1041</v>
      </c>
    </row>
    <row r="1049" spans="2:2">
      <c r="B1049" s="105">
        <v>1042</v>
      </c>
    </row>
    <row r="1050" spans="2:2">
      <c r="B1050" s="105">
        <v>1043</v>
      </c>
    </row>
    <row r="1051" spans="2:2">
      <c r="B1051" s="105">
        <v>1044</v>
      </c>
    </row>
    <row r="1052" spans="2:2">
      <c r="B1052" s="105">
        <v>1045</v>
      </c>
    </row>
    <row r="1053" spans="2:2">
      <c r="B1053" s="105">
        <v>1046</v>
      </c>
    </row>
    <row r="1054" spans="2:2">
      <c r="B1054" s="105">
        <v>1047</v>
      </c>
    </row>
    <row r="1055" spans="2:2">
      <c r="B1055" s="105">
        <v>1048</v>
      </c>
    </row>
    <row r="1056" spans="2:2">
      <c r="B1056" s="105">
        <v>1049</v>
      </c>
    </row>
    <row r="1057" spans="2:2">
      <c r="B1057" s="105">
        <v>1050</v>
      </c>
    </row>
    <row r="1058" spans="2:2">
      <c r="B1058" s="105">
        <v>1051</v>
      </c>
    </row>
    <row r="1059" spans="2:2">
      <c r="B1059" s="105">
        <v>1052</v>
      </c>
    </row>
    <row r="1060" spans="2:2">
      <c r="B1060" s="105">
        <v>1053</v>
      </c>
    </row>
    <row r="1061" spans="2:2">
      <c r="B1061" s="105">
        <v>1054</v>
      </c>
    </row>
    <row r="1062" spans="2:2">
      <c r="B1062" s="105">
        <v>1055</v>
      </c>
    </row>
    <row r="1063" spans="2:2">
      <c r="B1063" s="105">
        <v>1056</v>
      </c>
    </row>
    <row r="1064" spans="2:2">
      <c r="B1064" s="105">
        <v>1057</v>
      </c>
    </row>
    <row r="1065" spans="2:2">
      <c r="B1065" s="105">
        <v>1058</v>
      </c>
    </row>
    <row r="1066" spans="2:2">
      <c r="B1066" s="105">
        <v>1059</v>
      </c>
    </row>
    <row r="1067" spans="2:2">
      <c r="B1067" s="105">
        <v>1060</v>
      </c>
    </row>
    <row r="1068" spans="2:2">
      <c r="B1068" s="105">
        <v>1061</v>
      </c>
    </row>
    <row r="1069" spans="2:2">
      <c r="B1069" s="105">
        <v>1062</v>
      </c>
    </row>
    <row r="1070" spans="2:2">
      <c r="B1070" s="105">
        <v>1063</v>
      </c>
    </row>
    <row r="1071" spans="2:2">
      <c r="B1071" s="105">
        <v>1064</v>
      </c>
    </row>
    <row r="1072" spans="2:2">
      <c r="B1072" s="105">
        <v>1065</v>
      </c>
    </row>
    <row r="1073" spans="2:2">
      <c r="B1073" s="105">
        <v>1066</v>
      </c>
    </row>
    <row r="1074" spans="2:2">
      <c r="B1074" s="105">
        <v>1067</v>
      </c>
    </row>
    <row r="1075" spans="2:2">
      <c r="B1075" s="105">
        <v>1068</v>
      </c>
    </row>
    <row r="1076" spans="2:2">
      <c r="B1076" s="105">
        <v>1069</v>
      </c>
    </row>
    <row r="1077" spans="2:2">
      <c r="B1077" s="105">
        <v>1070</v>
      </c>
    </row>
    <row r="1078" spans="2:2">
      <c r="B1078" s="105">
        <v>1071</v>
      </c>
    </row>
    <row r="1079" spans="2:2">
      <c r="B1079" s="105">
        <v>1072</v>
      </c>
    </row>
    <row r="1080" spans="2:2">
      <c r="B1080" s="105">
        <v>1073</v>
      </c>
    </row>
    <row r="1081" spans="2:2">
      <c r="B1081" s="105">
        <v>1074</v>
      </c>
    </row>
    <row r="1082" spans="2:2">
      <c r="B1082" s="105">
        <v>1075</v>
      </c>
    </row>
    <row r="1083" spans="2:2">
      <c r="B1083" s="105">
        <v>1076</v>
      </c>
    </row>
    <row r="1084" spans="2:2">
      <c r="B1084" s="105">
        <v>1077</v>
      </c>
    </row>
    <row r="1085" spans="2:2">
      <c r="B1085" s="105">
        <v>1078</v>
      </c>
    </row>
    <row r="1086" spans="2:2">
      <c r="B1086" s="105">
        <v>1079</v>
      </c>
    </row>
    <row r="1087" spans="2:2">
      <c r="B1087" s="105">
        <v>1080</v>
      </c>
    </row>
    <row r="1088" spans="2:2">
      <c r="B1088" s="105">
        <v>1081</v>
      </c>
    </row>
    <row r="1089" spans="2:2">
      <c r="B1089" s="105">
        <v>1082</v>
      </c>
    </row>
    <row r="1090" spans="2:2">
      <c r="B1090" s="105">
        <v>1083</v>
      </c>
    </row>
    <row r="1091" spans="2:2">
      <c r="B1091" s="105">
        <v>1084</v>
      </c>
    </row>
    <row r="1092" spans="2:2">
      <c r="B1092" s="105">
        <v>1085</v>
      </c>
    </row>
    <row r="1093" spans="2:2">
      <c r="B1093" s="105">
        <v>1086</v>
      </c>
    </row>
    <row r="1094" spans="2:2">
      <c r="B1094" s="105">
        <v>1087</v>
      </c>
    </row>
    <row r="1095" spans="2:2">
      <c r="B1095" s="105">
        <v>1088</v>
      </c>
    </row>
    <row r="1096" spans="2:2">
      <c r="B1096" s="105">
        <v>1089</v>
      </c>
    </row>
    <row r="1097" spans="2:2">
      <c r="B1097" s="105">
        <v>1090</v>
      </c>
    </row>
    <row r="1098" spans="2:2">
      <c r="B1098" s="105">
        <v>1091</v>
      </c>
    </row>
    <row r="1099" spans="2:2">
      <c r="B1099" s="105">
        <v>1092</v>
      </c>
    </row>
    <row r="1100" spans="2:2">
      <c r="B1100" s="105">
        <v>1093</v>
      </c>
    </row>
    <row r="1101" spans="2:2">
      <c r="B1101" s="105">
        <v>1094</v>
      </c>
    </row>
    <row r="1102" spans="2:2">
      <c r="B1102" s="105">
        <v>1095</v>
      </c>
    </row>
    <row r="1103" spans="2:2">
      <c r="B1103" s="105">
        <v>1096</v>
      </c>
    </row>
    <row r="1104" spans="2:2">
      <c r="B1104" s="105">
        <v>1097</v>
      </c>
    </row>
    <row r="1105" spans="2:2">
      <c r="B1105" s="105">
        <v>1098</v>
      </c>
    </row>
    <row r="1106" spans="2:2">
      <c r="B1106" s="105">
        <v>1099</v>
      </c>
    </row>
    <row r="1107" spans="2:2">
      <c r="B1107" s="105">
        <v>1100</v>
      </c>
    </row>
    <row r="1108" spans="2:2">
      <c r="B1108" s="105">
        <v>1101</v>
      </c>
    </row>
    <row r="1109" spans="2:2">
      <c r="B1109" s="105">
        <v>1102</v>
      </c>
    </row>
    <row r="1110" spans="2:2">
      <c r="B1110" s="105">
        <v>1103</v>
      </c>
    </row>
    <row r="1111" spans="2:2">
      <c r="B1111" s="105">
        <v>1104</v>
      </c>
    </row>
    <row r="1112" spans="2:2">
      <c r="B1112" s="105">
        <v>1105</v>
      </c>
    </row>
    <row r="1113" spans="2:2">
      <c r="B1113" s="105">
        <v>1106</v>
      </c>
    </row>
    <row r="1114" spans="2:2">
      <c r="B1114" s="105">
        <v>1107</v>
      </c>
    </row>
    <row r="1115" spans="2:2">
      <c r="B1115" s="105">
        <v>1108</v>
      </c>
    </row>
    <row r="1116" spans="2:2">
      <c r="B1116" s="105">
        <v>1109</v>
      </c>
    </row>
    <row r="1117" spans="2:2">
      <c r="B1117" s="105">
        <v>1110</v>
      </c>
    </row>
    <row r="1118" spans="2:2">
      <c r="B1118" s="105">
        <v>1111</v>
      </c>
    </row>
    <row r="1119" spans="2:2">
      <c r="B1119" s="105">
        <v>1112</v>
      </c>
    </row>
    <row r="1120" spans="2:2">
      <c r="B1120" s="105">
        <v>1113</v>
      </c>
    </row>
    <row r="1121" spans="2:2">
      <c r="B1121" s="105">
        <v>1114</v>
      </c>
    </row>
    <row r="1122" spans="2:2">
      <c r="B1122" s="105">
        <v>1115</v>
      </c>
    </row>
    <row r="1123" spans="2:2">
      <c r="B1123" s="105">
        <v>1116</v>
      </c>
    </row>
    <row r="1124" spans="2:2">
      <c r="B1124" s="105">
        <v>1117</v>
      </c>
    </row>
    <row r="1125" spans="2:2">
      <c r="B1125" s="105">
        <v>1118</v>
      </c>
    </row>
    <row r="1126" spans="2:2">
      <c r="B1126" s="105">
        <v>1119</v>
      </c>
    </row>
    <row r="1127" spans="2:2">
      <c r="B1127" s="105">
        <v>1120</v>
      </c>
    </row>
    <row r="1128" spans="2:2">
      <c r="B1128" s="105">
        <v>1121</v>
      </c>
    </row>
    <row r="1129" spans="2:2">
      <c r="B1129" s="105">
        <v>1122</v>
      </c>
    </row>
    <row r="1130" spans="2:2">
      <c r="B1130" s="105">
        <v>1123</v>
      </c>
    </row>
    <row r="1131" spans="2:2">
      <c r="B1131" s="105">
        <v>1124</v>
      </c>
    </row>
    <row r="1132" spans="2:2">
      <c r="B1132" s="105">
        <v>1125</v>
      </c>
    </row>
    <row r="1133" spans="2:2">
      <c r="B1133" s="105">
        <v>1126</v>
      </c>
    </row>
    <row r="1134" spans="2:2">
      <c r="B1134" s="105">
        <v>1127</v>
      </c>
    </row>
    <row r="1135" spans="2:2">
      <c r="B1135" s="105">
        <v>1128</v>
      </c>
    </row>
    <row r="1136" spans="2:2">
      <c r="B1136" s="105">
        <v>1129</v>
      </c>
    </row>
    <row r="1137" spans="2:2">
      <c r="B1137" s="105">
        <v>1130</v>
      </c>
    </row>
    <row r="1138" spans="2:2">
      <c r="B1138" s="105">
        <v>1131</v>
      </c>
    </row>
    <row r="1139" spans="2:2">
      <c r="B1139" s="105">
        <v>1132</v>
      </c>
    </row>
    <row r="1140" spans="2:2">
      <c r="B1140" s="105">
        <v>1133</v>
      </c>
    </row>
    <row r="1141" spans="2:2">
      <c r="B1141" s="105">
        <v>1134</v>
      </c>
    </row>
    <row r="1142" spans="2:2">
      <c r="B1142" s="105">
        <v>1135</v>
      </c>
    </row>
    <row r="1143" spans="2:2">
      <c r="B1143" s="105">
        <v>1136</v>
      </c>
    </row>
    <row r="1144" spans="2:2">
      <c r="B1144" s="105">
        <v>1137</v>
      </c>
    </row>
    <row r="1145" spans="2:2">
      <c r="B1145" s="105">
        <v>1138</v>
      </c>
    </row>
    <row r="1146" spans="2:2">
      <c r="B1146" s="105">
        <v>1139</v>
      </c>
    </row>
    <row r="1147" spans="2:2">
      <c r="B1147" s="105">
        <v>1140</v>
      </c>
    </row>
    <row r="1148" spans="2:2">
      <c r="B1148" s="105">
        <v>1141</v>
      </c>
    </row>
    <row r="1149" spans="2:2">
      <c r="B1149" s="105">
        <v>1142</v>
      </c>
    </row>
    <row r="1150" spans="2:2">
      <c r="B1150" s="105">
        <v>1143</v>
      </c>
    </row>
    <row r="1151" spans="2:2">
      <c r="B1151" s="105">
        <v>1144</v>
      </c>
    </row>
    <row r="1152" spans="2:2">
      <c r="B1152" s="105">
        <v>1145</v>
      </c>
    </row>
    <row r="1153" spans="2:2">
      <c r="B1153" s="105">
        <v>1146</v>
      </c>
    </row>
    <row r="1154" spans="2:2">
      <c r="B1154" s="105">
        <v>1147</v>
      </c>
    </row>
    <row r="1155" spans="2:2">
      <c r="B1155" s="105">
        <v>1148</v>
      </c>
    </row>
    <row r="1156" spans="2:2">
      <c r="B1156" s="105">
        <v>1149</v>
      </c>
    </row>
    <row r="1157" spans="2:2">
      <c r="B1157" s="105">
        <v>1150</v>
      </c>
    </row>
    <row r="1158" spans="2:2">
      <c r="B1158" s="105">
        <v>1151</v>
      </c>
    </row>
    <row r="1159" spans="2:2">
      <c r="B1159" s="105">
        <v>1152</v>
      </c>
    </row>
    <row r="1160" spans="2:2">
      <c r="B1160" s="105">
        <v>1153</v>
      </c>
    </row>
    <row r="1161" spans="2:2">
      <c r="B1161" s="105">
        <v>1154</v>
      </c>
    </row>
    <row r="1162" spans="2:2">
      <c r="B1162" s="105">
        <v>1155</v>
      </c>
    </row>
    <row r="1163" spans="2:2">
      <c r="B1163" s="105">
        <v>1156</v>
      </c>
    </row>
    <row r="1164" spans="2:2">
      <c r="B1164" s="105">
        <v>1157</v>
      </c>
    </row>
    <row r="1165" spans="2:2">
      <c r="B1165" s="105">
        <v>1158</v>
      </c>
    </row>
    <row r="1166" spans="2:2">
      <c r="B1166" s="105">
        <v>1159</v>
      </c>
    </row>
    <row r="1167" spans="2:2">
      <c r="B1167" s="105">
        <v>1160</v>
      </c>
    </row>
    <row r="1168" spans="2:2">
      <c r="B1168" s="105">
        <v>1161</v>
      </c>
    </row>
    <row r="1169" spans="2:2">
      <c r="B1169" s="105">
        <v>1162</v>
      </c>
    </row>
    <row r="1170" spans="2:2">
      <c r="B1170" s="105">
        <v>1163</v>
      </c>
    </row>
    <row r="1171" spans="2:2">
      <c r="B1171" s="105">
        <v>1164</v>
      </c>
    </row>
    <row r="1172" spans="2:2">
      <c r="B1172" s="105">
        <v>1165</v>
      </c>
    </row>
    <row r="1173" spans="2:2">
      <c r="B1173" s="105">
        <v>1166</v>
      </c>
    </row>
    <row r="1174" spans="2:2">
      <c r="B1174" s="105">
        <v>1167</v>
      </c>
    </row>
    <row r="1175" spans="2:2">
      <c r="B1175" s="105">
        <v>1168</v>
      </c>
    </row>
    <row r="1176" spans="2:2">
      <c r="B1176" s="105">
        <v>1169</v>
      </c>
    </row>
    <row r="1177" spans="2:2">
      <c r="B1177" s="105">
        <v>1170</v>
      </c>
    </row>
    <row r="1178" spans="2:2">
      <c r="B1178" s="105">
        <v>1171</v>
      </c>
    </row>
    <row r="1179" spans="2:2">
      <c r="B1179" s="105">
        <v>1172</v>
      </c>
    </row>
    <row r="1180" spans="2:2">
      <c r="B1180" s="105">
        <v>1173</v>
      </c>
    </row>
    <row r="1181" spans="2:2">
      <c r="B1181" s="105">
        <v>1174</v>
      </c>
    </row>
    <row r="1182" spans="2:2">
      <c r="B1182" s="105">
        <v>1175</v>
      </c>
    </row>
    <row r="1183" spans="2:2">
      <c r="B1183" s="105">
        <v>1176</v>
      </c>
    </row>
    <row r="1184" spans="2:2">
      <c r="B1184" s="105">
        <v>1177</v>
      </c>
    </row>
    <row r="1185" spans="2:2">
      <c r="B1185" s="105">
        <v>1178</v>
      </c>
    </row>
    <row r="1186" spans="2:2">
      <c r="B1186" s="105">
        <v>1179</v>
      </c>
    </row>
    <row r="1187" spans="2:2">
      <c r="B1187" s="105">
        <v>1180</v>
      </c>
    </row>
    <row r="1188" spans="2:2">
      <c r="B1188" s="105">
        <v>1181</v>
      </c>
    </row>
    <row r="1189" spans="2:2">
      <c r="B1189" s="105">
        <v>1182</v>
      </c>
    </row>
    <row r="1190" spans="2:2">
      <c r="B1190" s="105">
        <v>1183</v>
      </c>
    </row>
    <row r="1191" spans="2:2">
      <c r="B1191" s="105">
        <v>1184</v>
      </c>
    </row>
    <row r="1192" spans="2:2">
      <c r="B1192" s="105">
        <v>1185</v>
      </c>
    </row>
    <row r="1193" spans="2:2">
      <c r="B1193" s="105">
        <v>1186</v>
      </c>
    </row>
    <row r="1194" spans="2:2">
      <c r="B1194" s="105">
        <v>1187</v>
      </c>
    </row>
    <row r="1195" spans="2:2">
      <c r="B1195" s="105">
        <v>1188</v>
      </c>
    </row>
    <row r="1196" spans="2:2">
      <c r="B1196" s="105">
        <v>1189</v>
      </c>
    </row>
    <row r="1197" spans="2:2">
      <c r="B1197" s="105">
        <v>1190</v>
      </c>
    </row>
    <row r="1198" spans="2:2">
      <c r="B1198" s="105">
        <v>1191</v>
      </c>
    </row>
    <row r="1199" spans="2:2">
      <c r="B1199" s="105">
        <v>1192</v>
      </c>
    </row>
    <row r="1200" spans="2:2">
      <c r="B1200" s="105">
        <v>1193</v>
      </c>
    </row>
    <row r="1201" spans="2:2">
      <c r="B1201" s="105">
        <v>1194</v>
      </c>
    </row>
    <row r="1202" spans="2:2">
      <c r="B1202" s="105">
        <v>1195</v>
      </c>
    </row>
    <row r="1203" spans="2:2">
      <c r="B1203" s="105">
        <v>1196</v>
      </c>
    </row>
    <row r="1204" spans="2:2">
      <c r="B1204" s="105">
        <v>1197</v>
      </c>
    </row>
    <row r="1205" spans="2:2">
      <c r="B1205" s="105">
        <v>1198</v>
      </c>
    </row>
    <row r="1206" spans="2:2">
      <c r="B1206" s="105">
        <v>1199</v>
      </c>
    </row>
    <row r="1207" spans="2:2">
      <c r="B1207" s="105">
        <v>1200</v>
      </c>
    </row>
    <row r="1208" spans="2:2">
      <c r="B1208" s="105">
        <v>1201</v>
      </c>
    </row>
    <row r="1209" spans="2:2">
      <c r="B1209" s="105">
        <v>1202</v>
      </c>
    </row>
    <row r="1210" spans="2:2">
      <c r="B1210" s="105">
        <v>1203</v>
      </c>
    </row>
    <row r="1211" spans="2:2">
      <c r="B1211" s="105">
        <v>1204</v>
      </c>
    </row>
    <row r="1212" spans="2:2">
      <c r="B1212" s="105">
        <v>1205</v>
      </c>
    </row>
    <row r="1213" spans="2:2">
      <c r="B1213" s="105">
        <v>1206</v>
      </c>
    </row>
    <row r="1214" spans="2:2">
      <c r="B1214" s="105">
        <v>1207</v>
      </c>
    </row>
    <row r="1215" spans="2:2">
      <c r="B1215" s="105">
        <v>1208</v>
      </c>
    </row>
    <row r="1216" spans="2:2">
      <c r="B1216" s="105">
        <v>1209</v>
      </c>
    </row>
    <row r="1217" spans="2:2">
      <c r="B1217" s="105">
        <v>1210</v>
      </c>
    </row>
    <row r="1218" spans="2:2">
      <c r="B1218" s="105">
        <v>1211</v>
      </c>
    </row>
    <row r="1219" spans="2:2">
      <c r="B1219" s="105">
        <v>1212</v>
      </c>
    </row>
    <row r="1220" spans="2:2">
      <c r="B1220" s="105">
        <v>1213</v>
      </c>
    </row>
    <row r="1221" spans="2:2">
      <c r="B1221" s="105">
        <v>1214</v>
      </c>
    </row>
    <row r="1222" spans="2:2">
      <c r="B1222" s="105">
        <v>1215</v>
      </c>
    </row>
    <row r="1223" spans="2:2">
      <c r="B1223" s="105">
        <v>1216</v>
      </c>
    </row>
    <row r="1224" spans="2:2">
      <c r="B1224" s="105">
        <v>1217</v>
      </c>
    </row>
    <row r="1225" spans="2:2">
      <c r="B1225" s="105">
        <v>1218</v>
      </c>
    </row>
    <row r="1226" spans="2:2">
      <c r="B1226" s="105">
        <v>1219</v>
      </c>
    </row>
    <row r="1227" spans="2:2">
      <c r="B1227" s="105">
        <v>1220</v>
      </c>
    </row>
    <row r="1228" spans="2:2">
      <c r="B1228" s="105">
        <v>1221</v>
      </c>
    </row>
    <row r="1229" spans="2:2">
      <c r="B1229" s="105">
        <v>1222</v>
      </c>
    </row>
    <row r="1230" spans="2:2">
      <c r="B1230" s="105">
        <v>1223</v>
      </c>
    </row>
    <row r="1231" spans="2:2">
      <c r="B1231" s="105">
        <v>1224</v>
      </c>
    </row>
    <row r="1232" spans="2:2">
      <c r="B1232" s="105">
        <v>1225</v>
      </c>
    </row>
    <row r="1233" spans="2:2">
      <c r="B1233" s="105">
        <v>1226</v>
      </c>
    </row>
    <row r="1234" spans="2:2">
      <c r="B1234" s="105">
        <v>1227</v>
      </c>
    </row>
    <row r="1235" spans="2:2">
      <c r="B1235" s="105">
        <v>1228</v>
      </c>
    </row>
    <row r="1236" spans="2:2">
      <c r="B1236" s="105">
        <v>1229</v>
      </c>
    </row>
    <row r="1237" spans="2:2">
      <c r="B1237" s="105">
        <v>1230</v>
      </c>
    </row>
    <row r="1238" spans="2:2">
      <c r="B1238" s="105">
        <v>1231</v>
      </c>
    </row>
    <row r="1239" spans="2:2">
      <c r="B1239" s="105">
        <v>1232</v>
      </c>
    </row>
    <row r="1240" spans="2:2">
      <c r="B1240" s="105">
        <v>1233</v>
      </c>
    </row>
    <row r="1241" spans="2:2">
      <c r="B1241" s="105">
        <v>1234</v>
      </c>
    </row>
    <row r="1242" spans="2:2">
      <c r="B1242" s="105">
        <v>1235</v>
      </c>
    </row>
    <row r="1243" spans="2:2">
      <c r="B1243" s="105">
        <v>1236</v>
      </c>
    </row>
    <row r="1244" spans="2:2">
      <c r="B1244" s="105">
        <v>1237</v>
      </c>
    </row>
    <row r="1245" spans="2:2">
      <c r="B1245" s="105">
        <v>1238</v>
      </c>
    </row>
    <row r="1246" spans="2:2">
      <c r="B1246" s="105">
        <v>1239</v>
      </c>
    </row>
    <row r="1247" spans="2:2">
      <c r="B1247" s="105">
        <v>1240</v>
      </c>
    </row>
    <row r="1248" spans="2:2">
      <c r="B1248" s="105">
        <v>1241</v>
      </c>
    </row>
    <row r="1249" spans="2:2">
      <c r="B1249" s="105">
        <v>1242</v>
      </c>
    </row>
    <row r="1250" spans="2:2">
      <c r="B1250" s="105">
        <v>1243</v>
      </c>
    </row>
    <row r="1251" spans="2:2">
      <c r="B1251" s="105">
        <v>1244</v>
      </c>
    </row>
    <row r="1252" spans="2:2">
      <c r="B1252" s="105">
        <v>1245</v>
      </c>
    </row>
    <row r="1253" spans="2:2">
      <c r="B1253" s="105">
        <v>1246</v>
      </c>
    </row>
    <row r="1254" spans="2:2">
      <c r="B1254" s="105">
        <v>1247</v>
      </c>
    </row>
    <row r="1255" spans="2:2">
      <c r="B1255" s="105">
        <v>1248</v>
      </c>
    </row>
    <row r="1256" spans="2:2">
      <c r="B1256" s="105">
        <v>1249</v>
      </c>
    </row>
    <row r="1257" spans="2:2">
      <c r="B1257" s="105">
        <v>1250</v>
      </c>
    </row>
    <row r="1258" spans="2:2">
      <c r="B1258" s="105">
        <v>1251</v>
      </c>
    </row>
    <row r="1259" spans="2:2">
      <c r="B1259" s="105">
        <v>1252</v>
      </c>
    </row>
    <row r="1260" spans="2:2">
      <c r="B1260" s="105">
        <v>1253</v>
      </c>
    </row>
    <row r="1261" spans="2:2">
      <c r="B1261" s="105">
        <v>1254</v>
      </c>
    </row>
    <row r="1262" spans="2:2">
      <c r="B1262" s="105">
        <v>1255</v>
      </c>
    </row>
    <row r="1263" spans="2:2">
      <c r="B1263" s="105">
        <v>1256</v>
      </c>
    </row>
    <row r="1264" spans="2:2">
      <c r="B1264" s="105">
        <v>1257</v>
      </c>
    </row>
    <row r="1265" spans="2:2">
      <c r="B1265" s="105">
        <v>1258</v>
      </c>
    </row>
    <row r="1266" spans="2:2">
      <c r="B1266" s="105">
        <v>1259</v>
      </c>
    </row>
    <row r="1267" spans="2:2">
      <c r="B1267" s="105">
        <v>1260</v>
      </c>
    </row>
    <row r="1268" spans="2:2">
      <c r="B1268" s="105">
        <v>1261</v>
      </c>
    </row>
    <row r="1269" spans="2:2">
      <c r="B1269" s="105">
        <v>1262</v>
      </c>
    </row>
    <row r="1270" spans="2:2">
      <c r="B1270" s="105">
        <v>1263</v>
      </c>
    </row>
    <row r="1271" spans="2:2">
      <c r="B1271" s="105">
        <v>1264</v>
      </c>
    </row>
    <row r="1272" spans="2:2">
      <c r="B1272" s="105">
        <v>1265</v>
      </c>
    </row>
    <row r="1273" spans="2:2">
      <c r="B1273" s="105">
        <v>1266</v>
      </c>
    </row>
    <row r="1274" spans="2:2">
      <c r="B1274" s="105">
        <v>1267</v>
      </c>
    </row>
    <row r="1275" spans="2:2">
      <c r="B1275" s="105">
        <v>1268</v>
      </c>
    </row>
    <row r="1276" spans="2:2">
      <c r="B1276" s="105">
        <v>1269</v>
      </c>
    </row>
    <row r="1277" spans="2:2">
      <c r="B1277" s="105">
        <v>1270</v>
      </c>
    </row>
    <row r="1278" spans="2:2">
      <c r="B1278" s="105">
        <v>1271</v>
      </c>
    </row>
    <row r="1279" spans="2:2">
      <c r="B1279" s="105">
        <v>1272</v>
      </c>
    </row>
    <row r="1280" spans="2:2">
      <c r="B1280" s="105">
        <v>1273</v>
      </c>
    </row>
    <row r="1281" spans="2:2">
      <c r="B1281" s="105">
        <v>1274</v>
      </c>
    </row>
    <row r="1282" spans="2:2">
      <c r="B1282" s="105">
        <v>1275</v>
      </c>
    </row>
    <row r="1283" spans="2:2">
      <c r="B1283" s="105">
        <v>1276</v>
      </c>
    </row>
    <row r="1284" spans="2:2">
      <c r="B1284" s="105">
        <v>1277</v>
      </c>
    </row>
    <row r="1285" spans="2:2">
      <c r="B1285" s="105">
        <v>1278</v>
      </c>
    </row>
    <row r="1286" spans="2:2">
      <c r="B1286" s="105">
        <v>1279</v>
      </c>
    </row>
    <row r="1287" spans="2:2">
      <c r="B1287" s="105">
        <v>1280</v>
      </c>
    </row>
    <row r="1288" spans="2:2">
      <c r="B1288" s="105">
        <v>1281</v>
      </c>
    </row>
    <row r="1289" spans="2:2">
      <c r="B1289" s="105">
        <v>1282</v>
      </c>
    </row>
    <row r="1290" spans="2:2">
      <c r="B1290" s="105">
        <v>1283</v>
      </c>
    </row>
    <row r="1291" spans="2:2">
      <c r="B1291" s="105">
        <v>1284</v>
      </c>
    </row>
    <row r="1292" spans="2:2">
      <c r="B1292" s="105">
        <v>1285</v>
      </c>
    </row>
    <row r="1293" spans="2:2">
      <c r="B1293" s="105">
        <v>1286</v>
      </c>
    </row>
    <row r="1294" spans="2:2">
      <c r="B1294" s="105">
        <v>1287</v>
      </c>
    </row>
    <row r="1295" spans="2:2">
      <c r="B1295" s="105">
        <v>1288</v>
      </c>
    </row>
    <row r="1296" spans="2:2">
      <c r="B1296" s="105">
        <v>1289</v>
      </c>
    </row>
    <row r="1297" spans="2:2">
      <c r="B1297" s="105">
        <v>1290</v>
      </c>
    </row>
    <row r="1298" spans="2:2">
      <c r="B1298" s="105">
        <v>1291</v>
      </c>
    </row>
    <row r="1299" spans="2:2">
      <c r="B1299" s="105">
        <v>1292</v>
      </c>
    </row>
    <row r="1300" spans="2:2">
      <c r="B1300" s="105">
        <v>1293</v>
      </c>
    </row>
    <row r="1301" spans="2:2">
      <c r="B1301" s="105">
        <v>1294</v>
      </c>
    </row>
    <row r="1302" spans="2:2">
      <c r="B1302" s="105">
        <v>1295</v>
      </c>
    </row>
    <row r="1303" spans="2:2">
      <c r="B1303" s="105">
        <v>1296</v>
      </c>
    </row>
    <row r="1304" spans="2:2">
      <c r="B1304" s="105">
        <v>1297</v>
      </c>
    </row>
    <row r="1305" spans="2:2">
      <c r="B1305" s="105">
        <v>1298</v>
      </c>
    </row>
    <row r="1306" spans="2:2">
      <c r="B1306" s="105">
        <v>1299</v>
      </c>
    </row>
    <row r="1307" spans="2:2">
      <c r="B1307" s="105">
        <v>1300</v>
      </c>
    </row>
    <row r="1308" spans="2:2">
      <c r="B1308" s="105">
        <v>1301</v>
      </c>
    </row>
    <row r="1309" spans="2:2">
      <c r="B1309" s="105">
        <v>1302</v>
      </c>
    </row>
    <row r="1310" spans="2:2">
      <c r="B1310" s="105">
        <v>1303</v>
      </c>
    </row>
    <row r="1311" spans="2:2">
      <c r="B1311" s="105">
        <v>1304</v>
      </c>
    </row>
    <row r="1312" spans="2:2">
      <c r="B1312" s="105">
        <v>1305</v>
      </c>
    </row>
    <row r="1313" spans="2:2">
      <c r="B1313" s="105">
        <v>1306</v>
      </c>
    </row>
    <row r="1314" spans="2:2">
      <c r="B1314" s="105">
        <v>1307</v>
      </c>
    </row>
    <row r="1315" spans="2:2">
      <c r="B1315" s="105">
        <v>1308</v>
      </c>
    </row>
    <row r="1316" spans="2:2">
      <c r="B1316" s="105">
        <v>1309</v>
      </c>
    </row>
    <row r="1317" spans="2:2">
      <c r="B1317" s="105">
        <v>1310</v>
      </c>
    </row>
    <row r="1318" spans="2:2">
      <c r="B1318" s="105">
        <v>1311</v>
      </c>
    </row>
    <row r="1319" spans="2:2">
      <c r="B1319" s="105">
        <v>1312</v>
      </c>
    </row>
    <row r="1320" spans="2:2">
      <c r="B1320" s="105">
        <v>1313</v>
      </c>
    </row>
    <row r="1321" spans="2:2">
      <c r="B1321" s="105">
        <v>1314</v>
      </c>
    </row>
    <row r="1322" spans="2:2">
      <c r="B1322" s="105">
        <v>1315</v>
      </c>
    </row>
    <row r="1323" spans="2:2">
      <c r="B1323" s="105">
        <v>1316</v>
      </c>
    </row>
    <row r="1324" spans="2:2">
      <c r="B1324" s="105">
        <v>1317</v>
      </c>
    </row>
    <row r="1325" spans="2:2">
      <c r="B1325" s="105">
        <v>1318</v>
      </c>
    </row>
    <row r="1326" spans="2:2">
      <c r="B1326" s="105">
        <v>1319</v>
      </c>
    </row>
    <row r="1327" spans="2:2">
      <c r="B1327" s="105">
        <v>1320</v>
      </c>
    </row>
    <row r="1328" spans="2:2">
      <c r="B1328" s="105">
        <v>1321</v>
      </c>
    </row>
    <row r="1329" spans="2:2">
      <c r="B1329" s="105">
        <v>1322</v>
      </c>
    </row>
    <row r="1330" spans="2:2">
      <c r="B1330" s="105">
        <v>1323</v>
      </c>
    </row>
    <row r="1331" spans="2:2">
      <c r="B1331" s="105">
        <v>1324</v>
      </c>
    </row>
    <row r="1332" spans="2:2">
      <c r="B1332" s="105">
        <v>1325</v>
      </c>
    </row>
    <row r="1333" spans="2:2">
      <c r="B1333" s="105">
        <v>1326</v>
      </c>
    </row>
    <row r="1334" spans="2:2">
      <c r="B1334" s="105">
        <v>1327</v>
      </c>
    </row>
    <row r="1335" spans="2:2">
      <c r="B1335" s="105">
        <v>1328</v>
      </c>
    </row>
    <row r="1336" spans="2:2">
      <c r="B1336" s="105">
        <v>1329</v>
      </c>
    </row>
    <row r="1337" spans="2:2">
      <c r="B1337" s="105">
        <v>1330</v>
      </c>
    </row>
    <row r="1338" spans="2:2">
      <c r="B1338" s="105">
        <v>1331</v>
      </c>
    </row>
    <row r="1339" spans="2:2">
      <c r="B1339" s="105">
        <v>1332</v>
      </c>
    </row>
    <row r="1340" spans="2:2">
      <c r="B1340" s="105">
        <v>1333</v>
      </c>
    </row>
    <row r="1341" spans="2:2">
      <c r="B1341" s="105">
        <v>1334</v>
      </c>
    </row>
    <row r="1342" spans="2:2">
      <c r="B1342" s="105">
        <v>1335</v>
      </c>
    </row>
    <row r="1343" spans="2:2">
      <c r="B1343" s="105">
        <v>1336</v>
      </c>
    </row>
    <row r="1344" spans="2:2">
      <c r="B1344" s="105">
        <v>1337</v>
      </c>
    </row>
    <row r="1345" spans="2:2">
      <c r="B1345" s="105">
        <v>1338</v>
      </c>
    </row>
    <row r="1346" spans="2:2">
      <c r="B1346" s="105">
        <v>1339</v>
      </c>
    </row>
    <row r="1347" spans="2:2">
      <c r="B1347" s="105">
        <v>1340</v>
      </c>
    </row>
    <row r="1348" spans="2:2">
      <c r="B1348" s="105">
        <v>1341</v>
      </c>
    </row>
    <row r="1349" spans="2:2">
      <c r="B1349" s="105">
        <v>1342</v>
      </c>
    </row>
    <row r="1350" spans="2:2">
      <c r="B1350" s="105">
        <v>1343</v>
      </c>
    </row>
    <row r="1351" spans="2:2">
      <c r="B1351" s="105">
        <v>1344</v>
      </c>
    </row>
    <row r="1352" spans="2:2">
      <c r="B1352" s="105">
        <v>1345</v>
      </c>
    </row>
    <row r="1353" spans="2:2">
      <c r="B1353" s="105">
        <v>1346</v>
      </c>
    </row>
    <row r="1354" spans="2:2">
      <c r="B1354" s="105">
        <v>1347</v>
      </c>
    </row>
    <row r="1355" spans="2:2">
      <c r="B1355" s="105">
        <v>1348</v>
      </c>
    </row>
    <row r="1356" spans="2:2">
      <c r="B1356" s="105">
        <v>1349</v>
      </c>
    </row>
    <row r="1357" spans="2:2">
      <c r="B1357" s="105">
        <v>1350</v>
      </c>
    </row>
    <row r="1358" spans="2:2">
      <c r="B1358" s="105">
        <v>1351</v>
      </c>
    </row>
    <row r="1359" spans="2:2">
      <c r="B1359" s="105">
        <v>1352</v>
      </c>
    </row>
    <row r="1360" spans="2:2">
      <c r="B1360" s="105">
        <v>1353</v>
      </c>
    </row>
    <row r="1361" spans="2:2">
      <c r="B1361" s="105">
        <v>1354</v>
      </c>
    </row>
    <row r="1362" spans="2:2">
      <c r="B1362" s="105">
        <v>1355</v>
      </c>
    </row>
    <row r="1363" spans="2:2">
      <c r="B1363" s="105">
        <v>1356</v>
      </c>
    </row>
    <row r="1364" spans="2:2">
      <c r="B1364" s="105">
        <v>1357</v>
      </c>
    </row>
    <row r="1365" spans="2:2">
      <c r="B1365" s="105">
        <v>1358</v>
      </c>
    </row>
    <row r="1366" spans="2:2">
      <c r="B1366" s="105">
        <v>1359</v>
      </c>
    </row>
    <row r="1367" spans="2:2">
      <c r="B1367" s="105">
        <v>1360</v>
      </c>
    </row>
    <row r="1368" spans="2:2">
      <c r="B1368" s="105">
        <v>1361</v>
      </c>
    </row>
    <row r="1369" spans="2:2">
      <c r="B1369" s="105">
        <v>1362</v>
      </c>
    </row>
    <row r="1370" spans="2:2">
      <c r="B1370" s="105">
        <v>1363</v>
      </c>
    </row>
    <row r="1371" spans="2:2">
      <c r="B1371" s="105">
        <v>1364</v>
      </c>
    </row>
    <row r="1372" spans="2:2">
      <c r="B1372" s="105">
        <v>1365</v>
      </c>
    </row>
    <row r="1373" spans="2:2">
      <c r="B1373" s="105">
        <v>1366</v>
      </c>
    </row>
    <row r="1374" spans="2:2">
      <c r="B1374" s="105">
        <v>1367</v>
      </c>
    </row>
    <row r="1375" spans="2:2">
      <c r="B1375" s="105">
        <v>1368</v>
      </c>
    </row>
    <row r="1376" spans="2:2">
      <c r="B1376" s="105">
        <v>1369</v>
      </c>
    </row>
    <row r="1377" spans="2:2">
      <c r="B1377" s="105">
        <v>1370</v>
      </c>
    </row>
    <row r="1378" spans="2:2">
      <c r="B1378" s="105">
        <v>1371</v>
      </c>
    </row>
    <row r="1379" spans="2:2">
      <c r="B1379" s="105">
        <v>1372</v>
      </c>
    </row>
    <row r="1380" spans="2:2">
      <c r="B1380" s="105">
        <v>1373</v>
      </c>
    </row>
    <row r="1381" spans="2:2">
      <c r="B1381" s="105">
        <v>1374</v>
      </c>
    </row>
    <row r="1382" spans="2:2">
      <c r="B1382" s="105">
        <v>1375</v>
      </c>
    </row>
    <row r="1383" spans="2:2">
      <c r="B1383" s="105">
        <v>1376</v>
      </c>
    </row>
    <row r="1384" spans="2:2">
      <c r="B1384" s="105">
        <v>1377</v>
      </c>
    </row>
    <row r="1385" spans="2:2">
      <c r="B1385" s="105">
        <v>1378</v>
      </c>
    </row>
    <row r="1386" spans="2:2">
      <c r="B1386" s="105">
        <v>1379</v>
      </c>
    </row>
    <row r="1387" spans="2:2">
      <c r="B1387" s="105">
        <v>1380</v>
      </c>
    </row>
    <row r="1388" spans="2:2">
      <c r="B1388" s="105">
        <v>1381</v>
      </c>
    </row>
    <row r="1389" spans="2:2">
      <c r="B1389" s="105">
        <v>1382</v>
      </c>
    </row>
    <row r="1390" spans="2:2">
      <c r="B1390" s="105">
        <v>1383</v>
      </c>
    </row>
    <row r="1391" spans="2:2">
      <c r="B1391" s="105">
        <v>1384</v>
      </c>
    </row>
    <row r="1392" spans="2:2">
      <c r="B1392" s="105">
        <v>1385</v>
      </c>
    </row>
    <row r="1393" spans="2:2">
      <c r="B1393" s="105">
        <v>1386</v>
      </c>
    </row>
    <row r="1394" spans="2:2">
      <c r="B1394" s="105">
        <v>1387</v>
      </c>
    </row>
    <row r="1395" spans="2:2">
      <c r="B1395" s="105">
        <v>1388</v>
      </c>
    </row>
    <row r="1396" spans="2:2">
      <c r="B1396" s="105">
        <v>1389</v>
      </c>
    </row>
    <row r="1397" spans="2:2">
      <c r="B1397" s="105">
        <v>1390</v>
      </c>
    </row>
    <row r="1398" spans="2:2">
      <c r="B1398" s="105">
        <v>1391</v>
      </c>
    </row>
    <row r="1399" spans="2:2">
      <c r="B1399" s="105">
        <v>1392</v>
      </c>
    </row>
    <row r="1400" spans="2:2">
      <c r="B1400" s="105">
        <v>1393</v>
      </c>
    </row>
    <row r="1401" spans="2:2">
      <c r="B1401" s="105">
        <v>1394</v>
      </c>
    </row>
    <row r="1402" spans="2:2">
      <c r="B1402" s="105">
        <v>1395</v>
      </c>
    </row>
    <row r="1403" spans="2:2">
      <c r="B1403" s="105">
        <v>1396</v>
      </c>
    </row>
    <row r="1404" spans="2:2">
      <c r="B1404" s="105">
        <v>1397</v>
      </c>
    </row>
    <row r="1405" spans="2:2">
      <c r="B1405" s="105">
        <v>1398</v>
      </c>
    </row>
    <row r="1406" spans="2:2">
      <c r="B1406" s="105">
        <v>1399</v>
      </c>
    </row>
    <row r="1407" spans="2:2">
      <c r="B1407" s="105">
        <v>1400</v>
      </c>
    </row>
    <row r="1408" spans="2:2">
      <c r="B1408" s="105">
        <v>1401</v>
      </c>
    </row>
    <row r="1409" spans="2:2">
      <c r="B1409" s="105">
        <v>1402</v>
      </c>
    </row>
    <row r="1410" spans="2:2">
      <c r="B1410" s="105">
        <v>1403</v>
      </c>
    </row>
    <row r="1411" spans="2:2">
      <c r="B1411" s="105">
        <v>1404</v>
      </c>
    </row>
    <row r="1412" spans="2:2">
      <c r="B1412" s="105">
        <v>1405</v>
      </c>
    </row>
    <row r="1413" spans="2:2">
      <c r="B1413" s="105">
        <v>1406</v>
      </c>
    </row>
    <row r="1414" spans="2:2">
      <c r="B1414" s="105">
        <v>1407</v>
      </c>
    </row>
    <row r="1415" spans="2:2">
      <c r="B1415" s="105">
        <v>1408</v>
      </c>
    </row>
    <row r="1416" spans="2:2">
      <c r="B1416" s="105">
        <v>1409</v>
      </c>
    </row>
    <row r="1417" spans="2:2">
      <c r="B1417" s="105">
        <v>1410</v>
      </c>
    </row>
    <row r="1418" spans="2:2">
      <c r="B1418" s="105">
        <v>1411</v>
      </c>
    </row>
    <row r="1419" spans="2:2">
      <c r="B1419" s="105">
        <v>1412</v>
      </c>
    </row>
    <row r="1420" spans="2:2">
      <c r="B1420" s="105">
        <v>1413</v>
      </c>
    </row>
    <row r="1421" spans="2:2">
      <c r="B1421" s="105">
        <v>1414</v>
      </c>
    </row>
    <row r="1422" spans="2:2">
      <c r="B1422" s="105">
        <v>1415</v>
      </c>
    </row>
    <row r="1423" spans="2:2">
      <c r="B1423" s="105">
        <v>1416</v>
      </c>
    </row>
    <row r="1424" spans="2:2">
      <c r="B1424" s="105">
        <v>1417</v>
      </c>
    </row>
    <row r="1425" spans="2:2">
      <c r="B1425" s="105">
        <v>1418</v>
      </c>
    </row>
    <row r="1426" spans="2:2">
      <c r="B1426" s="105">
        <v>1419</v>
      </c>
    </row>
    <row r="1427" spans="2:2">
      <c r="B1427" s="105">
        <v>1420</v>
      </c>
    </row>
    <row r="1428" spans="2:2">
      <c r="B1428" s="105">
        <v>1421</v>
      </c>
    </row>
    <row r="1429" spans="2:2">
      <c r="B1429" s="105">
        <v>1422</v>
      </c>
    </row>
    <row r="1430" spans="2:2">
      <c r="B1430" s="105">
        <v>1423</v>
      </c>
    </row>
    <row r="1431" spans="2:2">
      <c r="B1431" s="105">
        <v>1424</v>
      </c>
    </row>
    <row r="1432" spans="2:2">
      <c r="B1432" s="105">
        <v>1425</v>
      </c>
    </row>
    <row r="1433" spans="2:2">
      <c r="B1433" s="105">
        <v>1426</v>
      </c>
    </row>
    <row r="1434" spans="2:2">
      <c r="B1434" s="105">
        <v>1427</v>
      </c>
    </row>
    <row r="1435" spans="2:2">
      <c r="B1435" s="105">
        <v>1428</v>
      </c>
    </row>
    <row r="1436" spans="2:2">
      <c r="B1436" s="105">
        <v>1429</v>
      </c>
    </row>
    <row r="1437" spans="2:2">
      <c r="B1437" s="105">
        <v>1430</v>
      </c>
    </row>
    <row r="1438" spans="2:2">
      <c r="B1438" s="105">
        <v>1431</v>
      </c>
    </row>
    <row r="1439" spans="2:2">
      <c r="B1439" s="105">
        <v>1432</v>
      </c>
    </row>
    <row r="1440" spans="2:2">
      <c r="B1440" s="105">
        <v>1433</v>
      </c>
    </row>
    <row r="1441" spans="2:2">
      <c r="B1441" s="105">
        <v>1434</v>
      </c>
    </row>
    <row r="1442" spans="2:2">
      <c r="B1442" s="105">
        <v>1435</v>
      </c>
    </row>
    <row r="1443" spans="2:2">
      <c r="B1443" s="105">
        <v>1436</v>
      </c>
    </row>
    <row r="1444" spans="2:2">
      <c r="B1444" s="105">
        <v>1437</v>
      </c>
    </row>
    <row r="1445" spans="2:2">
      <c r="B1445" s="105">
        <v>1438</v>
      </c>
    </row>
    <row r="1446" spans="2:2">
      <c r="B1446" s="105">
        <v>1439</v>
      </c>
    </row>
    <row r="1447" spans="2:2">
      <c r="B1447" s="105">
        <v>1440</v>
      </c>
    </row>
    <row r="1448" spans="2:2">
      <c r="B1448" s="105">
        <v>1441</v>
      </c>
    </row>
    <row r="1449" spans="2:2">
      <c r="B1449" s="105">
        <v>1442</v>
      </c>
    </row>
    <row r="1450" spans="2:2">
      <c r="B1450" s="105">
        <v>1443</v>
      </c>
    </row>
    <row r="1451" spans="2:2">
      <c r="B1451" s="105">
        <v>1444</v>
      </c>
    </row>
    <row r="1452" spans="2:2">
      <c r="B1452" s="105">
        <v>1445</v>
      </c>
    </row>
    <row r="1453" spans="2:2">
      <c r="B1453" s="105">
        <v>1446</v>
      </c>
    </row>
    <row r="1454" spans="2:2">
      <c r="B1454" s="105">
        <v>1447</v>
      </c>
    </row>
    <row r="1455" spans="2:2">
      <c r="B1455" s="105">
        <v>1448</v>
      </c>
    </row>
    <row r="1456" spans="2:2">
      <c r="B1456" s="105">
        <v>1449</v>
      </c>
    </row>
    <row r="1457" spans="2:2">
      <c r="B1457" s="105">
        <v>1450</v>
      </c>
    </row>
    <row r="1458" spans="2:2">
      <c r="B1458" s="105">
        <v>1451</v>
      </c>
    </row>
    <row r="1459" spans="2:2">
      <c r="B1459" s="105">
        <v>1452</v>
      </c>
    </row>
    <row r="1460" spans="2:2">
      <c r="B1460" s="105">
        <v>1453</v>
      </c>
    </row>
    <row r="1461" spans="2:2">
      <c r="B1461" s="105">
        <v>1454</v>
      </c>
    </row>
    <row r="1462" spans="2:2">
      <c r="B1462" s="105">
        <v>1455</v>
      </c>
    </row>
    <row r="1463" spans="2:2">
      <c r="B1463" s="105">
        <v>1456</v>
      </c>
    </row>
    <row r="1464" spans="2:2">
      <c r="B1464" s="105">
        <v>1457</v>
      </c>
    </row>
    <row r="1465" spans="2:2">
      <c r="B1465" s="105">
        <v>1458</v>
      </c>
    </row>
    <row r="1466" spans="2:2">
      <c r="B1466" s="105">
        <v>1459</v>
      </c>
    </row>
    <row r="1467" spans="2:2">
      <c r="B1467" s="105">
        <v>1460</v>
      </c>
    </row>
    <row r="1468" spans="2:2">
      <c r="B1468" s="105">
        <v>1461</v>
      </c>
    </row>
    <row r="1469" spans="2:2">
      <c r="B1469" s="105">
        <v>1462</v>
      </c>
    </row>
    <row r="1470" spans="2:2">
      <c r="B1470" s="105">
        <v>1463</v>
      </c>
    </row>
    <row r="1471" spans="2:2">
      <c r="B1471" s="105">
        <v>1464</v>
      </c>
    </row>
    <row r="1472" spans="2:2">
      <c r="B1472" s="105">
        <v>1465</v>
      </c>
    </row>
    <row r="1473" spans="2:2">
      <c r="B1473" s="105">
        <v>1466</v>
      </c>
    </row>
    <row r="1474" spans="2:2">
      <c r="B1474" s="105">
        <v>1467</v>
      </c>
    </row>
    <row r="1475" spans="2:2">
      <c r="B1475" s="105">
        <v>1468</v>
      </c>
    </row>
    <row r="1476" spans="2:2">
      <c r="B1476" s="105">
        <v>1469</v>
      </c>
    </row>
    <row r="1477" spans="2:2">
      <c r="B1477" s="105">
        <v>1470</v>
      </c>
    </row>
    <row r="1478" spans="2:2">
      <c r="B1478" s="105">
        <v>1471</v>
      </c>
    </row>
    <row r="1479" spans="2:2">
      <c r="B1479" s="105">
        <v>1472</v>
      </c>
    </row>
    <row r="1480" spans="2:2">
      <c r="B1480" s="105">
        <v>1473</v>
      </c>
    </row>
    <row r="1481" spans="2:2">
      <c r="B1481" s="105">
        <v>1474</v>
      </c>
    </row>
    <row r="1482" spans="2:2">
      <c r="B1482" s="105">
        <v>1475</v>
      </c>
    </row>
    <row r="1483" spans="2:2">
      <c r="B1483" s="105">
        <v>1476</v>
      </c>
    </row>
    <row r="1484" spans="2:2">
      <c r="B1484" s="105">
        <v>1477</v>
      </c>
    </row>
    <row r="1485" spans="2:2">
      <c r="B1485" s="105">
        <v>1478</v>
      </c>
    </row>
    <row r="1486" spans="2:2">
      <c r="B1486" s="105">
        <v>1479</v>
      </c>
    </row>
    <row r="1487" spans="2:2">
      <c r="B1487" s="105">
        <v>1480</v>
      </c>
    </row>
    <row r="1488" spans="2:2">
      <c r="B1488" s="105">
        <v>1481</v>
      </c>
    </row>
    <row r="1489" spans="2:2">
      <c r="B1489" s="105">
        <v>1482</v>
      </c>
    </row>
    <row r="1490" spans="2:2">
      <c r="B1490" s="105">
        <v>1483</v>
      </c>
    </row>
    <row r="1491" spans="2:2">
      <c r="B1491" s="105">
        <v>1484</v>
      </c>
    </row>
    <row r="1492" spans="2:2">
      <c r="B1492" s="105">
        <v>1485</v>
      </c>
    </row>
    <row r="1493" spans="2:2">
      <c r="B1493" s="105">
        <v>1486</v>
      </c>
    </row>
    <row r="1494" spans="2:2">
      <c r="B1494" s="105">
        <v>1487</v>
      </c>
    </row>
    <row r="1495" spans="2:2">
      <c r="B1495" s="105">
        <v>1488</v>
      </c>
    </row>
    <row r="1496" spans="2:2">
      <c r="B1496" s="105">
        <v>1489</v>
      </c>
    </row>
    <row r="1497" spans="2:2">
      <c r="B1497" s="105">
        <v>1490</v>
      </c>
    </row>
    <row r="1498" spans="2:2">
      <c r="B1498" s="105">
        <v>1491</v>
      </c>
    </row>
    <row r="1499" spans="2:2">
      <c r="B1499" s="105">
        <v>1492</v>
      </c>
    </row>
    <row r="1500" spans="2:2">
      <c r="B1500" s="105">
        <v>1493</v>
      </c>
    </row>
    <row r="1501" spans="2:2">
      <c r="B1501" s="105">
        <v>1494</v>
      </c>
    </row>
    <row r="1502" spans="2:2">
      <c r="B1502" s="105">
        <v>1495</v>
      </c>
    </row>
    <row r="1503" spans="2:2">
      <c r="B1503" s="105">
        <v>1496</v>
      </c>
    </row>
    <row r="1504" spans="2:2">
      <c r="B1504" s="105">
        <v>1497</v>
      </c>
    </row>
    <row r="1505" spans="2:2">
      <c r="B1505" s="105">
        <v>1498</v>
      </c>
    </row>
    <row r="1506" spans="2:2">
      <c r="B1506" s="105">
        <v>1499</v>
      </c>
    </row>
    <row r="1507" spans="2:2">
      <c r="B1507" s="105">
        <v>1500</v>
      </c>
    </row>
    <row r="1508" spans="2:2">
      <c r="B1508" s="105">
        <v>1501</v>
      </c>
    </row>
    <row r="1509" spans="2:2">
      <c r="B1509" s="105">
        <v>1502</v>
      </c>
    </row>
    <row r="1510" spans="2:2">
      <c r="B1510" s="105">
        <v>1503</v>
      </c>
    </row>
    <row r="1511" spans="2:2">
      <c r="B1511" s="105">
        <v>1504</v>
      </c>
    </row>
    <row r="1512" spans="2:2">
      <c r="B1512" s="105">
        <v>1505</v>
      </c>
    </row>
    <row r="1513" spans="2:2">
      <c r="B1513" s="105">
        <v>1506</v>
      </c>
    </row>
    <row r="1514" spans="2:2">
      <c r="B1514" s="105">
        <v>1507</v>
      </c>
    </row>
    <row r="1515" spans="2:2">
      <c r="B1515" s="105">
        <v>1508</v>
      </c>
    </row>
    <row r="1516" spans="2:2">
      <c r="B1516" s="105">
        <v>1509</v>
      </c>
    </row>
    <row r="1517" spans="2:2">
      <c r="B1517" s="105">
        <v>1510</v>
      </c>
    </row>
    <row r="1518" spans="2:2">
      <c r="B1518" s="105">
        <v>1511</v>
      </c>
    </row>
    <row r="1519" spans="2:2">
      <c r="B1519" s="105">
        <v>1512</v>
      </c>
    </row>
    <row r="1520" spans="2:2">
      <c r="B1520" s="105">
        <v>1513</v>
      </c>
    </row>
    <row r="1521" spans="2:2">
      <c r="B1521" s="105">
        <v>1514</v>
      </c>
    </row>
    <row r="1522" spans="2:2">
      <c r="B1522" s="105">
        <v>1515</v>
      </c>
    </row>
    <row r="1523" spans="2:2">
      <c r="B1523" s="105">
        <v>1516</v>
      </c>
    </row>
    <row r="1524" spans="2:2">
      <c r="B1524" s="105">
        <v>1517</v>
      </c>
    </row>
    <row r="1525" spans="2:2">
      <c r="B1525" s="105">
        <v>1518</v>
      </c>
    </row>
    <row r="1526" spans="2:2">
      <c r="B1526" s="105">
        <v>1519</v>
      </c>
    </row>
    <row r="1527" spans="2:2">
      <c r="B1527" s="105">
        <v>1520</v>
      </c>
    </row>
    <row r="1528" spans="2:2">
      <c r="B1528" s="105">
        <v>1521</v>
      </c>
    </row>
    <row r="1529" spans="2:2">
      <c r="B1529" s="105">
        <v>1522</v>
      </c>
    </row>
    <row r="1530" spans="2:2">
      <c r="B1530" s="105">
        <v>1523</v>
      </c>
    </row>
    <row r="1531" spans="2:2">
      <c r="B1531" s="105">
        <v>1524</v>
      </c>
    </row>
    <row r="1532" spans="2:2">
      <c r="B1532" s="105">
        <v>1525</v>
      </c>
    </row>
    <row r="1533" spans="2:2">
      <c r="B1533" s="105">
        <v>1526</v>
      </c>
    </row>
    <row r="1534" spans="2:2">
      <c r="B1534" s="105">
        <v>1527</v>
      </c>
    </row>
    <row r="1535" spans="2:2">
      <c r="B1535" s="105">
        <v>1528</v>
      </c>
    </row>
    <row r="1536" spans="2:2">
      <c r="B1536" s="105">
        <v>1529</v>
      </c>
    </row>
    <row r="1537" spans="2:2">
      <c r="B1537" s="105">
        <v>1530</v>
      </c>
    </row>
    <row r="1538" spans="2:2">
      <c r="B1538" s="105">
        <v>1531</v>
      </c>
    </row>
    <row r="1539" spans="2:2">
      <c r="B1539" s="105">
        <v>1532</v>
      </c>
    </row>
    <row r="1540" spans="2:2">
      <c r="B1540" s="105">
        <v>1533</v>
      </c>
    </row>
    <row r="1541" spans="2:2">
      <c r="B1541" s="105">
        <v>1534</v>
      </c>
    </row>
    <row r="1542" spans="2:2">
      <c r="B1542" s="105">
        <v>1535</v>
      </c>
    </row>
    <row r="1543" spans="2:2">
      <c r="B1543" s="105">
        <v>1536</v>
      </c>
    </row>
    <row r="1544" spans="2:2">
      <c r="B1544" s="105">
        <v>1537</v>
      </c>
    </row>
    <row r="1545" spans="2:2">
      <c r="B1545" s="105">
        <v>1538</v>
      </c>
    </row>
    <row r="1546" spans="2:2">
      <c r="B1546" s="105">
        <v>1539</v>
      </c>
    </row>
    <row r="1547" spans="2:2">
      <c r="B1547" s="105">
        <v>1540</v>
      </c>
    </row>
    <row r="1548" spans="2:2">
      <c r="B1548" s="105">
        <v>1541</v>
      </c>
    </row>
    <row r="1549" spans="2:2">
      <c r="B1549" s="105">
        <v>1542</v>
      </c>
    </row>
    <row r="1550" spans="2:2">
      <c r="B1550" s="105">
        <v>1543</v>
      </c>
    </row>
    <row r="1551" spans="2:2">
      <c r="B1551" s="105">
        <v>1544</v>
      </c>
    </row>
    <row r="1552" spans="2:2">
      <c r="B1552" s="105">
        <v>1545</v>
      </c>
    </row>
    <row r="1553" spans="2:2">
      <c r="B1553" s="105">
        <v>1546</v>
      </c>
    </row>
    <row r="1554" spans="2:2">
      <c r="B1554" s="105">
        <v>1547</v>
      </c>
    </row>
    <row r="1555" spans="2:2">
      <c r="B1555" s="105">
        <v>1548</v>
      </c>
    </row>
    <row r="1556" spans="2:2">
      <c r="B1556" s="105">
        <v>1549</v>
      </c>
    </row>
    <row r="1557" spans="2:2">
      <c r="B1557" s="105">
        <v>1550</v>
      </c>
    </row>
    <row r="1558" spans="2:2">
      <c r="B1558" s="105">
        <v>1551</v>
      </c>
    </row>
    <row r="1559" spans="2:2">
      <c r="B1559" s="105">
        <v>1552</v>
      </c>
    </row>
    <row r="1560" spans="2:2">
      <c r="B1560" s="105">
        <v>1553</v>
      </c>
    </row>
    <row r="1561" spans="2:2">
      <c r="B1561" s="105">
        <v>1554</v>
      </c>
    </row>
    <row r="1562" spans="2:2">
      <c r="B1562" s="105">
        <v>1555</v>
      </c>
    </row>
    <row r="1563" spans="2:2">
      <c r="B1563" s="105">
        <v>1556</v>
      </c>
    </row>
    <row r="1564" spans="2:2">
      <c r="B1564" s="105">
        <v>1557</v>
      </c>
    </row>
    <row r="1565" spans="2:2">
      <c r="B1565" s="105">
        <v>1558</v>
      </c>
    </row>
    <row r="1566" spans="2:2">
      <c r="B1566" s="105">
        <v>1559</v>
      </c>
    </row>
    <row r="1567" spans="2:2">
      <c r="B1567" s="105">
        <v>1560</v>
      </c>
    </row>
    <row r="1568" spans="2:2">
      <c r="B1568" s="105">
        <v>1561</v>
      </c>
    </row>
    <row r="1569" spans="2:2">
      <c r="B1569" s="105">
        <v>1562</v>
      </c>
    </row>
    <row r="1570" spans="2:2">
      <c r="B1570" s="105">
        <v>1563</v>
      </c>
    </row>
    <row r="1571" spans="2:2">
      <c r="B1571" s="105">
        <v>1564</v>
      </c>
    </row>
    <row r="1572" spans="2:2">
      <c r="B1572" s="105">
        <v>1565</v>
      </c>
    </row>
    <row r="1573" spans="2:2">
      <c r="B1573" s="105">
        <v>1566</v>
      </c>
    </row>
    <row r="1574" spans="2:2">
      <c r="B1574" s="105">
        <v>1567</v>
      </c>
    </row>
    <row r="1575" spans="2:2">
      <c r="B1575" s="105">
        <v>1568</v>
      </c>
    </row>
    <row r="1576" spans="2:2">
      <c r="B1576" s="105">
        <v>1569</v>
      </c>
    </row>
    <row r="1577" spans="2:2">
      <c r="B1577" s="105">
        <v>1570</v>
      </c>
    </row>
    <row r="1578" spans="2:2">
      <c r="B1578" s="105">
        <v>1571</v>
      </c>
    </row>
    <row r="1579" spans="2:2">
      <c r="B1579" s="105">
        <v>1572</v>
      </c>
    </row>
    <row r="1580" spans="2:2">
      <c r="B1580" s="105">
        <v>1573</v>
      </c>
    </row>
    <row r="1581" spans="2:2">
      <c r="B1581" s="105">
        <v>1574</v>
      </c>
    </row>
    <row r="1582" spans="2:2">
      <c r="B1582" s="105">
        <v>1575</v>
      </c>
    </row>
    <row r="1583" spans="2:2">
      <c r="B1583" s="105">
        <v>1576</v>
      </c>
    </row>
    <row r="1584" spans="2:2">
      <c r="B1584" s="105">
        <v>1577</v>
      </c>
    </row>
    <row r="1585" spans="2:2">
      <c r="B1585" s="105">
        <v>1578</v>
      </c>
    </row>
    <row r="1586" spans="2:2">
      <c r="B1586" s="105">
        <v>1579</v>
      </c>
    </row>
    <row r="1587" spans="2:2">
      <c r="B1587" s="105">
        <v>1580</v>
      </c>
    </row>
    <row r="1588" spans="2:2">
      <c r="B1588" s="105">
        <v>1581</v>
      </c>
    </row>
    <row r="1589" spans="2:2">
      <c r="B1589" s="105">
        <v>1582</v>
      </c>
    </row>
    <row r="1590" spans="2:2">
      <c r="B1590" s="105">
        <v>1583</v>
      </c>
    </row>
    <row r="1591" spans="2:2">
      <c r="B1591" s="105">
        <v>1584</v>
      </c>
    </row>
    <row r="1592" spans="2:2">
      <c r="B1592" s="105">
        <v>1585</v>
      </c>
    </row>
    <row r="1593" spans="2:2">
      <c r="B1593" s="105">
        <v>1586</v>
      </c>
    </row>
    <row r="1594" spans="2:2">
      <c r="B1594" s="105">
        <v>1587</v>
      </c>
    </row>
    <row r="1595" spans="2:2">
      <c r="B1595" s="105">
        <v>1588</v>
      </c>
    </row>
    <row r="1596" spans="2:2">
      <c r="B1596" s="105">
        <v>1589</v>
      </c>
    </row>
    <row r="1597" spans="2:2">
      <c r="B1597" s="105">
        <v>1590</v>
      </c>
    </row>
    <row r="1598" spans="2:2">
      <c r="B1598" s="105">
        <v>1591</v>
      </c>
    </row>
    <row r="1599" spans="2:2">
      <c r="B1599" s="105">
        <v>1592</v>
      </c>
    </row>
    <row r="1600" spans="2:2">
      <c r="B1600" s="105">
        <v>1593</v>
      </c>
    </row>
    <row r="1601" spans="2:2">
      <c r="B1601" s="105">
        <v>1594</v>
      </c>
    </row>
    <row r="1602" spans="2:2">
      <c r="B1602" s="105">
        <v>1595</v>
      </c>
    </row>
    <row r="1603" spans="2:2">
      <c r="B1603" s="105">
        <v>1596</v>
      </c>
    </row>
    <row r="1604" spans="2:2">
      <c r="B1604" s="105">
        <v>1597</v>
      </c>
    </row>
    <row r="1605" spans="2:2">
      <c r="B1605" s="105">
        <v>1598</v>
      </c>
    </row>
    <row r="1606" spans="2:2">
      <c r="B1606" s="105">
        <v>1599</v>
      </c>
    </row>
    <row r="1607" spans="2:2">
      <c r="B1607" s="105">
        <v>1600</v>
      </c>
    </row>
    <row r="1608" spans="2:2">
      <c r="B1608" s="105">
        <v>1601</v>
      </c>
    </row>
    <row r="1609" spans="2:2">
      <c r="B1609" s="105">
        <v>1602</v>
      </c>
    </row>
    <row r="1610" spans="2:2">
      <c r="B1610" s="105">
        <v>1603</v>
      </c>
    </row>
    <row r="1611" spans="2:2">
      <c r="B1611" s="105">
        <v>1604</v>
      </c>
    </row>
    <row r="1612" spans="2:2">
      <c r="B1612" s="105">
        <v>1605</v>
      </c>
    </row>
    <row r="1613" spans="2:2">
      <c r="B1613" s="105">
        <v>1606</v>
      </c>
    </row>
    <row r="1614" spans="2:2">
      <c r="B1614" s="105">
        <v>1607</v>
      </c>
    </row>
    <row r="1615" spans="2:2">
      <c r="B1615" s="105">
        <v>1608</v>
      </c>
    </row>
    <row r="1616" spans="2:2">
      <c r="B1616" s="105">
        <v>1609</v>
      </c>
    </row>
    <row r="1617" spans="2:2">
      <c r="B1617" s="105">
        <v>1610</v>
      </c>
    </row>
    <row r="1618" spans="2:2">
      <c r="B1618" s="105">
        <v>1611</v>
      </c>
    </row>
    <row r="1619" spans="2:2">
      <c r="B1619" s="105">
        <v>1612</v>
      </c>
    </row>
    <row r="1620" spans="2:2">
      <c r="B1620" s="105">
        <v>1613</v>
      </c>
    </row>
    <row r="1621" spans="2:2">
      <c r="B1621" s="105">
        <v>1614</v>
      </c>
    </row>
    <row r="1622" spans="2:2">
      <c r="B1622" s="105">
        <v>1615</v>
      </c>
    </row>
    <row r="1623" spans="2:2">
      <c r="B1623" s="105">
        <v>1616</v>
      </c>
    </row>
    <row r="1624" spans="2:2">
      <c r="B1624" s="105">
        <v>1617</v>
      </c>
    </row>
    <row r="1625" spans="2:2">
      <c r="B1625" s="105">
        <v>1618</v>
      </c>
    </row>
    <row r="1626" spans="2:2">
      <c r="B1626" s="105">
        <v>1619</v>
      </c>
    </row>
    <row r="1627" spans="2:2">
      <c r="B1627" s="105">
        <v>1620</v>
      </c>
    </row>
    <row r="1628" spans="2:2">
      <c r="B1628" s="105">
        <v>1621</v>
      </c>
    </row>
    <row r="1629" spans="2:2">
      <c r="B1629" s="105">
        <v>1622</v>
      </c>
    </row>
    <row r="1630" spans="2:2">
      <c r="B1630" s="105">
        <v>1623</v>
      </c>
    </row>
    <row r="1631" spans="2:2">
      <c r="B1631" s="105">
        <v>1624</v>
      </c>
    </row>
    <row r="1632" spans="2:2">
      <c r="B1632" s="105">
        <v>1625</v>
      </c>
    </row>
    <row r="1633" spans="2:2">
      <c r="B1633" s="105">
        <v>1626</v>
      </c>
    </row>
    <row r="1634" spans="2:2">
      <c r="B1634" s="105">
        <v>1627</v>
      </c>
    </row>
    <row r="1635" spans="2:2">
      <c r="B1635" s="105">
        <v>1628</v>
      </c>
    </row>
    <row r="1636" spans="2:2">
      <c r="B1636" s="105">
        <v>1629</v>
      </c>
    </row>
    <row r="1637" spans="2:2">
      <c r="B1637" s="105">
        <v>1630</v>
      </c>
    </row>
    <row r="1638" spans="2:2">
      <c r="B1638" s="105">
        <v>1631</v>
      </c>
    </row>
    <row r="1639" spans="2:2">
      <c r="B1639" s="105">
        <v>1632</v>
      </c>
    </row>
    <row r="1640" spans="2:2">
      <c r="B1640" s="105">
        <v>1633</v>
      </c>
    </row>
    <row r="1641" spans="2:2">
      <c r="B1641" s="105">
        <v>1634</v>
      </c>
    </row>
    <row r="1642" spans="2:2">
      <c r="B1642" s="105">
        <v>1635</v>
      </c>
    </row>
    <row r="1643" spans="2:2">
      <c r="B1643" s="105">
        <v>1636</v>
      </c>
    </row>
    <row r="1644" spans="2:2">
      <c r="B1644" s="105">
        <v>1637</v>
      </c>
    </row>
    <row r="1645" spans="2:2">
      <c r="B1645" s="105">
        <v>1638</v>
      </c>
    </row>
    <row r="1646" spans="2:2">
      <c r="B1646" s="105">
        <v>1639</v>
      </c>
    </row>
    <row r="1647" spans="2:2">
      <c r="B1647" s="105">
        <v>1640</v>
      </c>
    </row>
    <row r="1648" spans="2:2">
      <c r="B1648" s="105">
        <v>1641</v>
      </c>
    </row>
    <row r="1649" spans="2:2">
      <c r="B1649" s="105">
        <v>1642</v>
      </c>
    </row>
    <row r="1650" spans="2:2">
      <c r="B1650" s="105">
        <v>1643</v>
      </c>
    </row>
    <row r="1651" spans="2:2">
      <c r="B1651" s="105">
        <v>1644</v>
      </c>
    </row>
    <row r="1652" spans="2:2">
      <c r="B1652" s="105">
        <v>1645</v>
      </c>
    </row>
    <row r="1653" spans="2:2">
      <c r="B1653" s="105">
        <v>1646</v>
      </c>
    </row>
    <row r="1654" spans="2:2">
      <c r="B1654" s="105">
        <v>1647</v>
      </c>
    </row>
    <row r="1655" spans="2:2">
      <c r="B1655" s="105">
        <v>1648</v>
      </c>
    </row>
    <row r="1656" spans="2:2">
      <c r="B1656" s="105">
        <v>1649</v>
      </c>
    </row>
    <row r="1657" spans="2:2">
      <c r="B1657" s="105">
        <v>1650</v>
      </c>
    </row>
    <row r="1658" spans="2:2">
      <c r="B1658" s="105">
        <v>1651</v>
      </c>
    </row>
    <row r="1659" spans="2:2">
      <c r="B1659" s="105">
        <v>1652</v>
      </c>
    </row>
    <row r="1660" spans="2:2">
      <c r="B1660" s="105">
        <v>1653</v>
      </c>
    </row>
    <row r="1661" spans="2:2">
      <c r="B1661" s="105">
        <v>1654</v>
      </c>
    </row>
    <row r="1662" spans="2:2">
      <c r="B1662" s="105">
        <v>1655</v>
      </c>
    </row>
    <row r="1663" spans="2:2">
      <c r="B1663" s="105">
        <v>1656</v>
      </c>
    </row>
    <row r="1664" spans="2:2">
      <c r="B1664" s="105">
        <v>1657</v>
      </c>
    </row>
    <row r="1665" spans="2:2">
      <c r="B1665" s="105">
        <v>1658</v>
      </c>
    </row>
    <row r="1666" spans="2:2">
      <c r="B1666" s="105">
        <v>1659</v>
      </c>
    </row>
    <row r="1667" spans="2:2">
      <c r="B1667" s="105">
        <v>1660</v>
      </c>
    </row>
    <row r="1668" spans="2:2">
      <c r="B1668" s="105">
        <v>1661</v>
      </c>
    </row>
    <row r="1669" spans="2:2">
      <c r="B1669" s="105">
        <v>1662</v>
      </c>
    </row>
    <row r="1670" spans="2:2">
      <c r="B1670" s="105">
        <v>1663</v>
      </c>
    </row>
    <row r="1671" spans="2:2">
      <c r="B1671" s="105">
        <v>1664</v>
      </c>
    </row>
    <row r="1672" spans="2:2">
      <c r="B1672" s="105">
        <v>1665</v>
      </c>
    </row>
    <row r="1673" spans="2:2">
      <c r="B1673" s="105">
        <v>1666</v>
      </c>
    </row>
    <row r="1674" spans="2:2">
      <c r="B1674" s="105">
        <v>1667</v>
      </c>
    </row>
    <row r="1675" spans="2:2">
      <c r="B1675" s="105">
        <v>1668</v>
      </c>
    </row>
    <row r="1676" spans="2:2">
      <c r="B1676" s="105">
        <v>1669</v>
      </c>
    </row>
    <row r="1677" spans="2:2">
      <c r="B1677" s="105">
        <v>1670</v>
      </c>
    </row>
    <row r="1678" spans="2:2">
      <c r="B1678" s="105">
        <v>1671</v>
      </c>
    </row>
    <row r="1679" spans="2:2">
      <c r="B1679" s="105">
        <v>1672</v>
      </c>
    </row>
    <row r="1680" spans="2:2">
      <c r="B1680" s="105">
        <v>1673</v>
      </c>
    </row>
    <row r="1681" spans="2:2">
      <c r="B1681" s="105">
        <v>1674</v>
      </c>
    </row>
    <row r="1682" spans="2:2">
      <c r="B1682" s="105">
        <v>1675</v>
      </c>
    </row>
    <row r="1683" spans="2:2">
      <c r="B1683" s="105">
        <v>1676</v>
      </c>
    </row>
    <row r="1684" spans="2:2">
      <c r="B1684" s="105">
        <v>1677</v>
      </c>
    </row>
    <row r="1685" spans="2:2">
      <c r="B1685" s="105">
        <v>1678</v>
      </c>
    </row>
    <row r="1686" spans="2:2">
      <c r="B1686" s="105">
        <v>1679</v>
      </c>
    </row>
    <row r="1687" spans="2:2">
      <c r="B1687" s="105">
        <v>1680</v>
      </c>
    </row>
    <row r="1688" spans="2:2">
      <c r="B1688" s="105">
        <v>1681</v>
      </c>
    </row>
    <row r="1689" spans="2:2">
      <c r="B1689" s="105">
        <v>1682</v>
      </c>
    </row>
    <row r="1690" spans="2:2">
      <c r="B1690" s="105">
        <v>1683</v>
      </c>
    </row>
    <row r="1691" spans="2:2">
      <c r="B1691" s="105">
        <v>1684</v>
      </c>
    </row>
    <row r="1692" spans="2:2">
      <c r="B1692" s="105">
        <v>1685</v>
      </c>
    </row>
    <row r="1693" spans="2:2">
      <c r="B1693" s="105">
        <v>1686</v>
      </c>
    </row>
    <row r="1694" spans="2:2">
      <c r="B1694" s="105">
        <v>1687</v>
      </c>
    </row>
    <row r="1695" spans="2:2">
      <c r="B1695" s="105">
        <v>1688</v>
      </c>
    </row>
    <row r="1696" spans="2:2">
      <c r="B1696" s="105">
        <v>1689</v>
      </c>
    </row>
    <row r="1697" spans="2:2">
      <c r="B1697" s="105">
        <v>1690</v>
      </c>
    </row>
    <row r="1698" spans="2:2">
      <c r="B1698" s="105">
        <v>1691</v>
      </c>
    </row>
    <row r="1699" spans="2:2">
      <c r="B1699" s="105">
        <v>1692</v>
      </c>
    </row>
    <row r="1700" spans="2:2">
      <c r="B1700" s="105">
        <v>1693</v>
      </c>
    </row>
    <row r="1701" spans="2:2">
      <c r="B1701" s="105">
        <v>1694</v>
      </c>
    </row>
    <row r="1702" spans="2:2">
      <c r="B1702" s="105">
        <v>1695</v>
      </c>
    </row>
    <row r="1703" spans="2:2">
      <c r="B1703" s="105">
        <v>1696</v>
      </c>
    </row>
    <row r="1704" spans="2:2">
      <c r="B1704" s="105">
        <v>1697</v>
      </c>
    </row>
    <row r="1705" spans="2:2">
      <c r="B1705" s="105">
        <v>1698</v>
      </c>
    </row>
    <row r="1706" spans="2:2">
      <c r="B1706" s="105">
        <v>1699</v>
      </c>
    </row>
    <row r="1707" spans="2:2">
      <c r="B1707" s="105">
        <v>1700</v>
      </c>
    </row>
    <row r="1708" spans="2:2">
      <c r="B1708" s="105">
        <v>1701</v>
      </c>
    </row>
    <row r="1709" spans="2:2">
      <c r="B1709" s="105">
        <v>1702</v>
      </c>
    </row>
    <row r="1710" spans="2:2">
      <c r="B1710" s="105">
        <v>1703</v>
      </c>
    </row>
    <row r="1711" spans="2:2">
      <c r="B1711" s="105">
        <v>1704</v>
      </c>
    </row>
    <row r="1712" spans="2:2">
      <c r="B1712" s="105">
        <v>1705</v>
      </c>
    </row>
    <row r="1713" spans="2:2">
      <c r="B1713" s="105">
        <v>1706</v>
      </c>
    </row>
    <row r="1714" spans="2:2">
      <c r="B1714" s="105">
        <v>1707</v>
      </c>
    </row>
    <row r="1715" spans="2:2">
      <c r="B1715" s="105">
        <v>1708</v>
      </c>
    </row>
    <row r="1716" spans="2:2">
      <c r="B1716" s="105">
        <v>1709</v>
      </c>
    </row>
    <row r="1717" spans="2:2">
      <c r="B1717" s="105">
        <v>1710</v>
      </c>
    </row>
    <row r="1718" spans="2:2">
      <c r="B1718" s="105">
        <v>1711</v>
      </c>
    </row>
    <row r="1719" spans="2:2">
      <c r="B1719" s="105">
        <v>1712</v>
      </c>
    </row>
    <row r="1720" spans="2:2">
      <c r="B1720" s="105">
        <v>1713</v>
      </c>
    </row>
    <row r="1721" spans="2:2">
      <c r="B1721" s="105">
        <v>1714</v>
      </c>
    </row>
    <row r="1722" spans="2:2">
      <c r="B1722" s="105">
        <v>1715</v>
      </c>
    </row>
    <row r="1723" spans="2:2">
      <c r="B1723" s="105">
        <v>1716</v>
      </c>
    </row>
    <row r="1724" spans="2:2">
      <c r="B1724" s="105">
        <v>1717</v>
      </c>
    </row>
    <row r="1725" spans="2:2">
      <c r="B1725" s="105">
        <v>1718</v>
      </c>
    </row>
    <row r="1726" spans="2:2">
      <c r="B1726" s="105">
        <v>1719</v>
      </c>
    </row>
    <row r="1727" spans="2:2">
      <c r="B1727" s="105">
        <v>1720</v>
      </c>
    </row>
    <row r="1728" spans="2:2">
      <c r="B1728" s="105">
        <v>1721</v>
      </c>
    </row>
    <row r="1729" spans="2:2">
      <c r="B1729" s="105">
        <v>1722</v>
      </c>
    </row>
    <row r="1730" spans="2:2">
      <c r="B1730" s="105">
        <v>1723</v>
      </c>
    </row>
    <row r="1731" spans="2:2">
      <c r="B1731" s="105">
        <v>1724</v>
      </c>
    </row>
    <row r="1732" spans="2:2">
      <c r="B1732" s="105">
        <v>1725</v>
      </c>
    </row>
    <row r="1733" spans="2:2">
      <c r="B1733" s="105">
        <v>1726</v>
      </c>
    </row>
    <row r="1734" spans="2:2">
      <c r="B1734" s="105">
        <v>1727</v>
      </c>
    </row>
    <row r="1735" spans="2:2">
      <c r="B1735" s="105">
        <v>1728</v>
      </c>
    </row>
    <row r="1736" spans="2:2">
      <c r="B1736" s="105">
        <v>1729</v>
      </c>
    </row>
    <row r="1737" spans="2:2">
      <c r="B1737" s="105">
        <v>1730</v>
      </c>
    </row>
    <row r="1738" spans="2:2">
      <c r="B1738" s="105">
        <v>1731</v>
      </c>
    </row>
    <row r="1739" spans="2:2">
      <c r="B1739" s="105">
        <v>1732</v>
      </c>
    </row>
    <row r="1740" spans="2:2">
      <c r="B1740" s="105">
        <v>1733</v>
      </c>
    </row>
    <row r="1741" spans="2:2">
      <c r="B1741" s="105">
        <v>1734</v>
      </c>
    </row>
    <row r="1742" spans="2:2">
      <c r="B1742" s="105">
        <v>1735</v>
      </c>
    </row>
    <row r="1743" spans="2:2">
      <c r="B1743" s="105">
        <v>1736</v>
      </c>
    </row>
    <row r="1744" spans="2:2">
      <c r="B1744" s="105">
        <v>1737</v>
      </c>
    </row>
    <row r="1745" spans="2:2">
      <c r="B1745" s="105">
        <v>1738</v>
      </c>
    </row>
    <row r="1746" spans="2:2">
      <c r="B1746" s="105">
        <v>1739</v>
      </c>
    </row>
    <row r="1747" spans="2:2">
      <c r="B1747" s="105">
        <v>1740</v>
      </c>
    </row>
    <row r="1748" spans="2:2">
      <c r="B1748" s="105">
        <v>1741</v>
      </c>
    </row>
    <row r="1749" spans="2:2">
      <c r="B1749" s="105">
        <v>1742</v>
      </c>
    </row>
    <row r="1750" spans="2:2">
      <c r="B1750" s="105">
        <v>1743</v>
      </c>
    </row>
    <row r="1751" spans="2:2">
      <c r="B1751" s="105">
        <v>1744</v>
      </c>
    </row>
    <row r="1752" spans="2:2">
      <c r="B1752" s="105">
        <v>1745</v>
      </c>
    </row>
    <row r="1753" spans="2:2">
      <c r="B1753" s="105">
        <v>1746</v>
      </c>
    </row>
    <row r="1754" spans="2:2">
      <c r="B1754" s="105">
        <v>1747</v>
      </c>
    </row>
    <row r="1755" spans="2:2">
      <c r="B1755" s="105">
        <v>1748</v>
      </c>
    </row>
    <row r="1756" spans="2:2">
      <c r="B1756" s="105">
        <v>1749</v>
      </c>
    </row>
    <row r="1757" spans="2:2">
      <c r="B1757" s="105">
        <v>1750</v>
      </c>
    </row>
    <row r="1758" spans="2:2">
      <c r="B1758" s="105">
        <v>1751</v>
      </c>
    </row>
    <row r="1759" spans="2:2">
      <c r="B1759" s="105">
        <v>1752</v>
      </c>
    </row>
    <row r="1760" spans="2:2">
      <c r="B1760" s="105">
        <v>1753</v>
      </c>
    </row>
    <row r="1761" spans="2:2">
      <c r="B1761" s="105">
        <v>1754</v>
      </c>
    </row>
    <row r="1762" spans="2:2">
      <c r="B1762" s="105">
        <v>1755</v>
      </c>
    </row>
    <row r="1763" spans="2:2">
      <c r="B1763" s="105">
        <v>1756</v>
      </c>
    </row>
    <row r="1764" spans="2:2">
      <c r="B1764" s="105">
        <v>1757</v>
      </c>
    </row>
    <row r="1765" spans="2:2">
      <c r="B1765" s="105">
        <v>1758</v>
      </c>
    </row>
    <row r="1766" spans="2:2">
      <c r="B1766" s="105">
        <v>1759</v>
      </c>
    </row>
    <row r="1767" spans="2:2">
      <c r="B1767" s="105">
        <v>1760</v>
      </c>
    </row>
    <row r="1768" spans="2:2">
      <c r="B1768" s="105">
        <v>1761</v>
      </c>
    </row>
    <row r="1769" spans="2:2">
      <c r="B1769" s="105">
        <v>1762</v>
      </c>
    </row>
    <row r="1770" spans="2:2">
      <c r="B1770" s="105">
        <v>1763</v>
      </c>
    </row>
    <row r="1771" spans="2:2">
      <c r="B1771" s="105">
        <v>1764</v>
      </c>
    </row>
    <row r="1772" spans="2:2">
      <c r="B1772" s="105">
        <v>1765</v>
      </c>
    </row>
    <row r="1773" spans="2:2">
      <c r="B1773" s="105">
        <v>1766</v>
      </c>
    </row>
    <row r="1774" spans="2:2">
      <c r="B1774" s="105">
        <v>1767</v>
      </c>
    </row>
    <row r="1775" spans="2:2">
      <c r="B1775" s="105">
        <v>1768</v>
      </c>
    </row>
    <row r="1776" spans="2:2">
      <c r="B1776" s="105">
        <v>1769</v>
      </c>
    </row>
    <row r="1777" spans="2:2">
      <c r="B1777" s="105">
        <v>1770</v>
      </c>
    </row>
    <row r="1778" spans="2:2">
      <c r="B1778" s="105">
        <v>1771</v>
      </c>
    </row>
    <row r="1779" spans="2:2">
      <c r="B1779" s="105">
        <v>1772</v>
      </c>
    </row>
    <row r="1780" spans="2:2">
      <c r="B1780" s="105">
        <v>1773</v>
      </c>
    </row>
    <row r="1781" spans="2:2">
      <c r="B1781" s="105">
        <v>1774</v>
      </c>
    </row>
    <row r="1782" spans="2:2">
      <c r="B1782" s="105">
        <v>1775</v>
      </c>
    </row>
    <row r="1783" spans="2:2">
      <c r="B1783" s="105">
        <v>1776</v>
      </c>
    </row>
    <row r="1784" spans="2:2">
      <c r="B1784" s="105">
        <v>1777</v>
      </c>
    </row>
    <row r="1785" spans="2:2">
      <c r="B1785" s="105">
        <v>1778</v>
      </c>
    </row>
    <row r="1786" spans="2:2">
      <c r="B1786" s="105">
        <v>1779</v>
      </c>
    </row>
    <row r="1787" spans="2:2">
      <c r="B1787" s="105">
        <v>1780</v>
      </c>
    </row>
    <row r="1788" spans="2:2">
      <c r="B1788" s="105">
        <v>1781</v>
      </c>
    </row>
    <row r="1789" spans="2:2">
      <c r="B1789" s="105">
        <v>1782</v>
      </c>
    </row>
    <row r="1790" spans="2:2">
      <c r="B1790" s="105">
        <v>1783</v>
      </c>
    </row>
    <row r="1791" spans="2:2">
      <c r="B1791" s="105">
        <v>1784</v>
      </c>
    </row>
    <row r="1792" spans="2:2">
      <c r="B1792" s="105">
        <v>1785</v>
      </c>
    </row>
    <row r="1793" spans="2:2">
      <c r="B1793" s="105">
        <v>1786</v>
      </c>
    </row>
    <row r="1794" spans="2:2">
      <c r="B1794" s="105">
        <v>1787</v>
      </c>
    </row>
    <row r="1795" spans="2:2">
      <c r="B1795" s="105">
        <v>1788</v>
      </c>
    </row>
    <row r="1796" spans="2:2">
      <c r="B1796" s="105">
        <v>1789</v>
      </c>
    </row>
    <row r="1797" spans="2:2">
      <c r="B1797" s="105">
        <v>1790</v>
      </c>
    </row>
    <row r="1798" spans="2:2">
      <c r="B1798" s="105">
        <v>1791</v>
      </c>
    </row>
    <row r="1799" spans="2:2">
      <c r="B1799" s="105">
        <v>1792</v>
      </c>
    </row>
    <row r="1800" spans="2:2">
      <c r="B1800" s="105">
        <v>1793</v>
      </c>
    </row>
    <row r="1801" spans="2:2">
      <c r="B1801" s="105">
        <v>1794</v>
      </c>
    </row>
    <row r="1802" spans="2:2">
      <c r="B1802" s="105">
        <v>1795</v>
      </c>
    </row>
    <row r="1803" spans="2:2">
      <c r="B1803" s="105">
        <v>1796</v>
      </c>
    </row>
    <row r="1804" spans="2:2">
      <c r="B1804" s="105">
        <v>1797</v>
      </c>
    </row>
    <row r="1805" spans="2:2">
      <c r="B1805" s="105">
        <v>1798</v>
      </c>
    </row>
    <row r="1806" spans="2:2">
      <c r="B1806" s="105">
        <v>1799</v>
      </c>
    </row>
    <row r="1807" spans="2:2">
      <c r="B1807" s="105">
        <v>1800</v>
      </c>
    </row>
    <row r="1808" spans="2:2">
      <c r="B1808" s="105">
        <v>1801</v>
      </c>
    </row>
    <row r="1809" spans="2:2">
      <c r="B1809" s="105">
        <v>1802</v>
      </c>
    </row>
    <row r="1810" spans="2:2">
      <c r="B1810" s="105">
        <v>1803</v>
      </c>
    </row>
    <row r="1811" spans="2:2">
      <c r="B1811" s="105">
        <v>1804</v>
      </c>
    </row>
    <row r="1812" spans="2:2">
      <c r="B1812" s="105">
        <v>1805</v>
      </c>
    </row>
    <row r="1813" spans="2:2">
      <c r="B1813" s="105">
        <v>1806</v>
      </c>
    </row>
    <row r="1814" spans="2:2">
      <c r="B1814" s="105">
        <v>1807</v>
      </c>
    </row>
    <row r="1815" spans="2:2">
      <c r="B1815" s="105">
        <v>1808</v>
      </c>
    </row>
    <row r="1816" spans="2:2">
      <c r="B1816" s="105">
        <v>1809</v>
      </c>
    </row>
    <row r="1817" spans="2:2">
      <c r="B1817" s="105">
        <v>1810</v>
      </c>
    </row>
    <row r="1818" spans="2:2">
      <c r="B1818" s="105">
        <v>1811</v>
      </c>
    </row>
    <row r="1819" spans="2:2">
      <c r="B1819" s="105">
        <v>1812</v>
      </c>
    </row>
    <row r="1820" spans="2:2">
      <c r="B1820" s="105">
        <v>1813</v>
      </c>
    </row>
    <row r="1821" spans="2:2">
      <c r="B1821" s="105">
        <v>1814</v>
      </c>
    </row>
    <row r="1822" spans="2:2">
      <c r="B1822" s="105">
        <v>1815</v>
      </c>
    </row>
    <row r="1823" spans="2:2">
      <c r="B1823" s="105">
        <v>1816</v>
      </c>
    </row>
    <row r="1824" spans="2:2">
      <c r="B1824" s="105">
        <v>1817</v>
      </c>
    </row>
    <row r="1825" spans="2:2">
      <c r="B1825" s="105">
        <v>1818</v>
      </c>
    </row>
    <row r="1826" spans="2:2">
      <c r="B1826" s="105">
        <v>1819</v>
      </c>
    </row>
    <row r="1827" spans="2:2">
      <c r="B1827" s="105">
        <v>1820</v>
      </c>
    </row>
    <row r="1828" spans="2:2">
      <c r="B1828" s="105">
        <v>1821</v>
      </c>
    </row>
    <row r="1829" spans="2:2">
      <c r="B1829" s="105">
        <v>1822</v>
      </c>
    </row>
    <row r="1830" spans="2:2">
      <c r="B1830" s="105">
        <v>1823</v>
      </c>
    </row>
    <row r="1831" spans="2:2">
      <c r="B1831" s="105">
        <v>1824</v>
      </c>
    </row>
    <row r="1832" spans="2:2">
      <c r="B1832" s="105">
        <v>1825</v>
      </c>
    </row>
    <row r="1833" spans="2:2">
      <c r="B1833" s="105">
        <v>1826</v>
      </c>
    </row>
    <row r="1834" spans="2:2">
      <c r="B1834" s="105">
        <v>1827</v>
      </c>
    </row>
    <row r="1835" spans="2:2">
      <c r="B1835" s="105">
        <v>1828</v>
      </c>
    </row>
    <row r="1836" spans="2:2">
      <c r="B1836" s="105">
        <v>1829</v>
      </c>
    </row>
    <row r="1837" spans="2:2">
      <c r="B1837" s="105">
        <v>1830</v>
      </c>
    </row>
    <row r="1838" spans="2:2">
      <c r="B1838" s="105">
        <v>1831</v>
      </c>
    </row>
    <row r="1839" spans="2:2">
      <c r="B1839" s="105">
        <v>1832</v>
      </c>
    </row>
    <row r="1840" spans="2:2">
      <c r="B1840" s="105">
        <v>1833</v>
      </c>
    </row>
    <row r="1841" spans="2:2">
      <c r="B1841" s="105">
        <v>1834</v>
      </c>
    </row>
    <row r="1842" spans="2:2">
      <c r="B1842" s="105">
        <v>1835</v>
      </c>
    </row>
    <row r="1843" spans="2:2">
      <c r="B1843" s="105">
        <v>1836</v>
      </c>
    </row>
    <row r="1844" spans="2:2">
      <c r="B1844" s="105">
        <v>1837</v>
      </c>
    </row>
    <row r="1845" spans="2:2">
      <c r="B1845" s="105">
        <v>1838</v>
      </c>
    </row>
    <row r="1846" spans="2:2">
      <c r="B1846" s="105">
        <v>1839</v>
      </c>
    </row>
    <row r="1847" spans="2:2">
      <c r="B1847" s="105">
        <v>1840</v>
      </c>
    </row>
    <row r="1848" spans="2:2">
      <c r="B1848" s="105">
        <v>1841</v>
      </c>
    </row>
    <row r="1849" spans="2:2">
      <c r="B1849" s="105">
        <v>1842</v>
      </c>
    </row>
    <row r="1850" spans="2:2">
      <c r="B1850" s="105">
        <v>1843</v>
      </c>
    </row>
    <row r="1851" spans="2:2">
      <c r="B1851" s="105">
        <v>1844</v>
      </c>
    </row>
    <row r="1852" spans="2:2">
      <c r="B1852" s="105">
        <v>1845</v>
      </c>
    </row>
    <row r="1853" spans="2:2">
      <c r="B1853" s="105">
        <v>1846</v>
      </c>
    </row>
    <row r="1854" spans="2:2">
      <c r="B1854" s="105">
        <v>1847</v>
      </c>
    </row>
    <row r="1855" spans="2:2">
      <c r="B1855" s="105">
        <v>1848</v>
      </c>
    </row>
    <row r="1856" spans="2:2">
      <c r="B1856" s="105">
        <v>1849</v>
      </c>
    </row>
    <row r="1857" spans="2:2">
      <c r="B1857" s="105">
        <v>1850</v>
      </c>
    </row>
    <row r="1858" spans="2:2">
      <c r="B1858" s="105">
        <v>1851</v>
      </c>
    </row>
    <row r="1859" spans="2:2">
      <c r="B1859" s="105">
        <v>1852</v>
      </c>
    </row>
    <row r="1860" spans="2:2">
      <c r="B1860" s="105">
        <v>1853</v>
      </c>
    </row>
    <row r="1861" spans="2:2">
      <c r="B1861" s="105">
        <v>1854</v>
      </c>
    </row>
    <row r="1862" spans="2:2">
      <c r="B1862" s="105">
        <v>1855</v>
      </c>
    </row>
    <row r="1863" spans="2:2">
      <c r="B1863" s="105">
        <v>1856</v>
      </c>
    </row>
    <row r="1864" spans="2:2">
      <c r="B1864" s="105">
        <v>1857</v>
      </c>
    </row>
    <row r="1865" spans="2:2">
      <c r="B1865" s="105">
        <v>1858</v>
      </c>
    </row>
    <row r="1866" spans="2:2">
      <c r="B1866" s="105">
        <v>1859</v>
      </c>
    </row>
    <row r="1867" spans="2:2">
      <c r="B1867" s="105">
        <v>1860</v>
      </c>
    </row>
    <row r="1868" spans="2:2">
      <c r="B1868" s="105">
        <v>1861</v>
      </c>
    </row>
    <row r="1869" spans="2:2">
      <c r="B1869" s="105">
        <v>1862</v>
      </c>
    </row>
    <row r="1870" spans="2:2">
      <c r="B1870" s="105">
        <v>1863</v>
      </c>
    </row>
    <row r="1871" spans="2:2">
      <c r="B1871" s="105">
        <v>1864</v>
      </c>
    </row>
    <row r="1872" spans="2:2">
      <c r="B1872" s="105">
        <v>1865</v>
      </c>
    </row>
    <row r="1873" spans="2:2">
      <c r="B1873" s="105">
        <v>1866</v>
      </c>
    </row>
    <row r="1874" spans="2:2">
      <c r="B1874" s="105">
        <v>1867</v>
      </c>
    </row>
    <row r="1875" spans="2:2">
      <c r="B1875" s="105">
        <v>1868</v>
      </c>
    </row>
    <row r="1876" spans="2:2">
      <c r="B1876" s="105">
        <v>1869</v>
      </c>
    </row>
    <row r="1877" spans="2:2">
      <c r="B1877" s="105">
        <v>1870</v>
      </c>
    </row>
    <row r="1878" spans="2:2">
      <c r="B1878" s="105">
        <v>1871</v>
      </c>
    </row>
    <row r="1879" spans="2:2">
      <c r="B1879" s="105">
        <v>1872</v>
      </c>
    </row>
    <row r="1880" spans="2:2">
      <c r="B1880" s="105">
        <v>1873</v>
      </c>
    </row>
    <row r="1881" spans="2:2">
      <c r="B1881" s="105">
        <v>1874</v>
      </c>
    </row>
    <row r="1882" spans="2:2">
      <c r="B1882" s="105">
        <v>1875</v>
      </c>
    </row>
    <row r="1883" spans="2:2">
      <c r="B1883" s="105">
        <v>1876</v>
      </c>
    </row>
    <row r="1884" spans="2:2">
      <c r="B1884" s="105">
        <v>1877</v>
      </c>
    </row>
    <row r="1885" spans="2:2">
      <c r="B1885" s="105">
        <v>1878</v>
      </c>
    </row>
    <row r="1886" spans="2:2">
      <c r="B1886" s="105">
        <v>1879</v>
      </c>
    </row>
    <row r="1887" spans="2:2">
      <c r="B1887" s="105">
        <v>1880</v>
      </c>
    </row>
    <row r="1888" spans="2:2">
      <c r="B1888" s="105">
        <v>1881</v>
      </c>
    </row>
    <row r="1889" spans="2:2">
      <c r="B1889" s="105">
        <v>1882</v>
      </c>
    </row>
    <row r="1890" spans="2:2">
      <c r="B1890" s="105">
        <v>1883</v>
      </c>
    </row>
    <row r="1891" spans="2:2">
      <c r="B1891" s="105">
        <v>1884</v>
      </c>
    </row>
    <row r="1892" spans="2:2">
      <c r="B1892" s="105">
        <v>1885</v>
      </c>
    </row>
    <row r="1893" spans="2:2">
      <c r="B1893" s="105">
        <v>1886</v>
      </c>
    </row>
    <row r="1894" spans="2:2">
      <c r="B1894" s="105">
        <v>1887</v>
      </c>
    </row>
    <row r="1895" spans="2:2">
      <c r="B1895" s="105">
        <v>1888</v>
      </c>
    </row>
    <row r="1896" spans="2:2">
      <c r="B1896" s="105">
        <v>1889</v>
      </c>
    </row>
    <row r="1897" spans="2:2">
      <c r="B1897" s="105">
        <v>1890</v>
      </c>
    </row>
    <row r="1898" spans="2:2">
      <c r="B1898" s="105">
        <v>1891</v>
      </c>
    </row>
    <row r="1899" spans="2:2">
      <c r="B1899" s="105">
        <v>1892</v>
      </c>
    </row>
    <row r="1900" spans="2:2">
      <c r="B1900" s="105">
        <v>1893</v>
      </c>
    </row>
    <row r="1901" spans="2:2">
      <c r="B1901" s="105">
        <v>1894</v>
      </c>
    </row>
    <row r="1902" spans="2:2">
      <c r="B1902" s="105">
        <v>1895</v>
      </c>
    </row>
    <row r="1903" spans="2:2">
      <c r="B1903" s="105">
        <v>1896</v>
      </c>
    </row>
    <row r="1904" spans="2:2">
      <c r="B1904" s="105">
        <v>1897</v>
      </c>
    </row>
    <row r="1905" spans="2:2">
      <c r="B1905" s="105">
        <v>1898</v>
      </c>
    </row>
    <row r="1906" spans="2:2">
      <c r="B1906" s="105">
        <v>1899</v>
      </c>
    </row>
    <row r="1907" spans="2:2">
      <c r="B1907" s="105">
        <v>1900</v>
      </c>
    </row>
    <row r="1908" spans="2:2">
      <c r="B1908" s="105">
        <v>1901</v>
      </c>
    </row>
    <row r="1909" spans="2:2">
      <c r="B1909" s="105">
        <v>1902</v>
      </c>
    </row>
    <row r="1910" spans="2:2">
      <c r="B1910" s="105">
        <v>1903</v>
      </c>
    </row>
    <row r="1911" spans="2:2">
      <c r="B1911" s="105">
        <v>1904</v>
      </c>
    </row>
    <row r="1912" spans="2:2">
      <c r="B1912" s="105">
        <v>1905</v>
      </c>
    </row>
    <row r="1913" spans="2:2">
      <c r="B1913" s="105">
        <v>1906</v>
      </c>
    </row>
    <row r="1914" spans="2:2">
      <c r="B1914" s="105">
        <v>1907</v>
      </c>
    </row>
    <row r="1915" spans="2:2">
      <c r="B1915" s="105">
        <v>1908</v>
      </c>
    </row>
    <row r="1916" spans="2:2">
      <c r="B1916" s="105">
        <v>1909</v>
      </c>
    </row>
    <row r="1917" spans="2:2">
      <c r="B1917" s="105">
        <v>1910</v>
      </c>
    </row>
    <row r="1918" spans="2:2">
      <c r="B1918" s="105">
        <v>1911</v>
      </c>
    </row>
    <row r="1919" spans="2:2">
      <c r="B1919" s="105">
        <v>1912</v>
      </c>
    </row>
    <row r="1920" spans="2:2">
      <c r="B1920" s="105">
        <v>1913</v>
      </c>
    </row>
    <row r="1921" spans="2:2">
      <c r="B1921" s="105">
        <v>1914</v>
      </c>
    </row>
    <row r="1922" spans="2:2">
      <c r="B1922" s="105">
        <v>1915</v>
      </c>
    </row>
    <row r="1923" spans="2:2">
      <c r="B1923" s="105">
        <v>1916</v>
      </c>
    </row>
    <row r="1924" spans="2:2">
      <c r="B1924" s="105">
        <v>1917</v>
      </c>
    </row>
    <row r="1925" spans="2:2">
      <c r="B1925" s="105">
        <v>1918</v>
      </c>
    </row>
    <row r="1926" spans="2:2">
      <c r="B1926" s="105">
        <v>1919</v>
      </c>
    </row>
    <row r="1927" spans="2:2">
      <c r="B1927" s="105">
        <v>1920</v>
      </c>
    </row>
    <row r="1928" spans="2:2">
      <c r="B1928" s="105">
        <v>1921</v>
      </c>
    </row>
    <row r="1929" spans="2:2">
      <c r="B1929" s="105">
        <v>1922</v>
      </c>
    </row>
    <row r="1930" spans="2:2">
      <c r="B1930" s="105">
        <v>1923</v>
      </c>
    </row>
    <row r="1931" spans="2:2">
      <c r="B1931" s="105">
        <v>1924</v>
      </c>
    </row>
    <row r="1932" spans="2:2">
      <c r="B1932" s="105">
        <v>1925</v>
      </c>
    </row>
    <row r="1933" spans="2:2">
      <c r="B1933" s="105">
        <v>1926</v>
      </c>
    </row>
    <row r="1934" spans="2:2">
      <c r="B1934" s="105">
        <v>1927</v>
      </c>
    </row>
    <row r="1935" spans="2:2">
      <c r="B1935" s="105">
        <v>1928</v>
      </c>
    </row>
    <row r="1936" spans="2:2">
      <c r="B1936" s="105">
        <v>1929</v>
      </c>
    </row>
    <row r="1937" spans="2:2">
      <c r="B1937" s="105">
        <v>1930</v>
      </c>
    </row>
    <row r="1938" spans="2:2">
      <c r="B1938" s="105">
        <v>1931</v>
      </c>
    </row>
    <row r="1939" spans="2:2">
      <c r="B1939" s="105">
        <v>1932</v>
      </c>
    </row>
    <row r="1940" spans="2:2">
      <c r="B1940" s="105">
        <v>1933</v>
      </c>
    </row>
    <row r="1941" spans="2:2">
      <c r="B1941" s="105">
        <v>1934</v>
      </c>
    </row>
    <row r="1942" spans="2:2">
      <c r="B1942" s="105">
        <v>1935</v>
      </c>
    </row>
    <row r="1943" spans="2:2">
      <c r="B1943" s="105">
        <v>1936</v>
      </c>
    </row>
    <row r="1944" spans="2:2">
      <c r="B1944" s="105">
        <v>1937</v>
      </c>
    </row>
    <row r="1945" spans="2:2">
      <c r="B1945" s="105">
        <v>1938</v>
      </c>
    </row>
    <row r="1946" spans="2:2">
      <c r="B1946" s="105">
        <v>1939</v>
      </c>
    </row>
    <row r="1947" spans="2:2">
      <c r="B1947" s="105">
        <v>1940</v>
      </c>
    </row>
    <row r="1948" spans="2:2">
      <c r="B1948" s="105">
        <v>1941</v>
      </c>
    </row>
    <row r="1949" spans="2:2">
      <c r="B1949" s="105">
        <v>1942</v>
      </c>
    </row>
    <row r="1950" spans="2:2">
      <c r="B1950" s="105">
        <v>1943</v>
      </c>
    </row>
    <row r="1951" spans="2:2">
      <c r="B1951" s="105">
        <v>1944</v>
      </c>
    </row>
    <row r="1952" spans="2:2">
      <c r="B1952" s="105">
        <v>1945</v>
      </c>
    </row>
    <row r="1953" spans="2:2">
      <c r="B1953" s="105">
        <v>1946</v>
      </c>
    </row>
    <row r="1954" spans="2:2">
      <c r="B1954" s="105">
        <v>1947</v>
      </c>
    </row>
    <row r="1955" spans="2:2">
      <c r="B1955" s="105">
        <v>1948</v>
      </c>
    </row>
    <row r="1956" spans="2:2">
      <c r="B1956" s="105">
        <v>1949</v>
      </c>
    </row>
    <row r="1957" spans="2:2">
      <c r="B1957" s="105">
        <v>1950</v>
      </c>
    </row>
    <row r="1958" spans="2:2">
      <c r="B1958" s="105">
        <v>1951</v>
      </c>
    </row>
    <row r="1959" spans="2:2">
      <c r="B1959" s="105">
        <v>1952</v>
      </c>
    </row>
    <row r="1960" spans="2:2">
      <c r="B1960" s="105">
        <v>1953</v>
      </c>
    </row>
    <row r="1961" spans="2:2">
      <c r="B1961" s="105">
        <v>1954</v>
      </c>
    </row>
    <row r="1962" spans="2:2">
      <c r="B1962" s="105">
        <v>1955</v>
      </c>
    </row>
    <row r="1963" spans="2:2">
      <c r="B1963" s="105">
        <v>1956</v>
      </c>
    </row>
    <row r="1964" spans="2:2">
      <c r="B1964" s="105">
        <v>1957</v>
      </c>
    </row>
    <row r="1965" spans="2:2">
      <c r="B1965" s="105">
        <v>1958</v>
      </c>
    </row>
    <row r="1966" spans="2:2">
      <c r="B1966" s="105">
        <v>1959</v>
      </c>
    </row>
    <row r="1967" spans="2:2">
      <c r="B1967" s="105">
        <v>1960</v>
      </c>
    </row>
    <row r="1968" spans="2:2">
      <c r="B1968" s="105">
        <v>1961</v>
      </c>
    </row>
    <row r="1969" spans="2:2">
      <c r="B1969" s="105">
        <v>1962</v>
      </c>
    </row>
    <row r="1970" spans="2:2">
      <c r="B1970" s="105">
        <v>1963</v>
      </c>
    </row>
    <row r="1971" spans="2:2">
      <c r="B1971" s="105">
        <v>1964</v>
      </c>
    </row>
    <row r="1972" spans="2:2">
      <c r="B1972" s="105">
        <v>1965</v>
      </c>
    </row>
    <row r="1973" spans="2:2">
      <c r="B1973" s="105">
        <v>1966</v>
      </c>
    </row>
    <row r="1974" spans="2:2">
      <c r="B1974" s="105">
        <v>1967</v>
      </c>
    </row>
    <row r="1975" spans="2:2">
      <c r="B1975" s="105">
        <v>1968</v>
      </c>
    </row>
    <row r="1976" spans="2:2">
      <c r="B1976" s="105">
        <v>1969</v>
      </c>
    </row>
    <row r="1977" spans="2:2">
      <c r="B1977" s="105">
        <v>1970</v>
      </c>
    </row>
    <row r="1978" spans="2:2">
      <c r="B1978" s="105">
        <v>1971</v>
      </c>
    </row>
    <row r="1979" spans="2:2">
      <c r="B1979" s="105">
        <v>1972</v>
      </c>
    </row>
    <row r="1980" spans="2:2">
      <c r="B1980" s="105">
        <v>1973</v>
      </c>
    </row>
    <row r="1981" spans="2:2">
      <c r="B1981" s="105">
        <v>1974</v>
      </c>
    </row>
    <row r="1982" spans="2:2">
      <c r="B1982" s="105">
        <v>1975</v>
      </c>
    </row>
    <row r="1983" spans="2:2">
      <c r="B1983" s="105">
        <v>1976</v>
      </c>
    </row>
    <row r="1984" spans="2:2">
      <c r="B1984" s="105">
        <v>1977</v>
      </c>
    </row>
    <row r="1985" spans="2:2">
      <c r="B1985" s="105">
        <v>1978</v>
      </c>
    </row>
    <row r="1986" spans="2:2">
      <c r="B1986" s="105">
        <v>1979</v>
      </c>
    </row>
    <row r="1987" spans="2:2">
      <c r="B1987" s="105">
        <v>1980</v>
      </c>
    </row>
    <row r="1988" spans="2:2">
      <c r="B1988" s="105">
        <v>1981</v>
      </c>
    </row>
    <row r="1989" spans="2:2">
      <c r="B1989" s="105">
        <v>1982</v>
      </c>
    </row>
    <row r="1990" spans="2:2">
      <c r="B1990" s="105">
        <v>1983</v>
      </c>
    </row>
    <row r="1991" spans="2:2">
      <c r="B1991" s="105">
        <v>1984</v>
      </c>
    </row>
    <row r="1992" spans="2:2">
      <c r="B1992" s="105">
        <v>1985</v>
      </c>
    </row>
    <row r="1993" spans="2:2">
      <c r="B1993" s="105">
        <v>1986</v>
      </c>
    </row>
    <row r="1994" spans="2:2">
      <c r="B1994" s="105">
        <v>1987</v>
      </c>
    </row>
    <row r="1995" spans="2:2">
      <c r="B1995" s="105">
        <v>1988</v>
      </c>
    </row>
    <row r="1996" spans="2:2">
      <c r="B1996" s="105">
        <v>1989</v>
      </c>
    </row>
    <row r="1997" spans="2:2">
      <c r="B1997" s="105">
        <v>1990</v>
      </c>
    </row>
    <row r="1998" spans="2:2">
      <c r="B1998" s="105">
        <v>1991</v>
      </c>
    </row>
    <row r="1999" spans="2:2">
      <c r="B1999" s="105">
        <v>1992</v>
      </c>
    </row>
    <row r="2000" spans="2:2">
      <c r="B2000" s="105">
        <v>1993</v>
      </c>
    </row>
    <row r="2001" spans="2:2">
      <c r="B2001" s="105">
        <v>1994</v>
      </c>
    </row>
    <row r="2002" spans="2:2">
      <c r="B2002" s="105">
        <v>1995</v>
      </c>
    </row>
    <row r="2003" spans="2:2">
      <c r="B2003" s="105">
        <v>1996</v>
      </c>
    </row>
    <row r="2004" spans="2:2">
      <c r="B2004" s="105">
        <v>1997</v>
      </c>
    </row>
    <row r="2005" spans="2:2">
      <c r="B2005" s="105">
        <v>1998</v>
      </c>
    </row>
    <row r="2006" spans="2:2">
      <c r="B2006" s="105">
        <v>1999</v>
      </c>
    </row>
    <row r="2007" spans="2:2">
      <c r="B2007" s="105">
        <v>2000</v>
      </c>
    </row>
    <row r="2008" spans="2:2">
      <c r="B2008" s="105">
        <v>2001</v>
      </c>
    </row>
    <row r="2009" spans="2:2">
      <c r="B2009" s="105">
        <v>2002</v>
      </c>
    </row>
    <row r="2010" spans="2:2">
      <c r="B2010" s="105">
        <v>2003</v>
      </c>
    </row>
    <row r="2011" spans="2:2">
      <c r="B2011" s="105">
        <v>2004</v>
      </c>
    </row>
    <row r="2012" spans="2:2">
      <c r="B2012" s="105">
        <v>2005</v>
      </c>
    </row>
    <row r="2013" spans="2:2">
      <c r="B2013" s="105">
        <v>2006</v>
      </c>
    </row>
    <row r="2014" spans="2:2">
      <c r="B2014" s="105">
        <v>2007</v>
      </c>
    </row>
    <row r="2015" spans="2:2">
      <c r="B2015" s="105">
        <v>2008</v>
      </c>
    </row>
    <row r="2016" spans="2:2">
      <c r="B2016" s="105">
        <v>2009</v>
      </c>
    </row>
    <row r="2017" spans="2:2">
      <c r="B2017" s="105">
        <v>2010</v>
      </c>
    </row>
    <row r="2018" spans="2:2">
      <c r="B2018" s="105">
        <v>2011</v>
      </c>
    </row>
    <row r="2019" spans="2:2">
      <c r="B2019" s="105">
        <v>2012</v>
      </c>
    </row>
    <row r="2020" spans="2:2">
      <c r="B2020" s="105">
        <v>2013</v>
      </c>
    </row>
    <row r="2021" spans="2:2">
      <c r="B2021" s="105">
        <v>2014</v>
      </c>
    </row>
    <row r="2022" spans="2:2">
      <c r="B2022" s="105">
        <v>2015</v>
      </c>
    </row>
    <row r="2023" spans="2:2">
      <c r="B2023" s="105">
        <v>2016</v>
      </c>
    </row>
    <row r="2024" spans="2:2">
      <c r="B2024" s="105">
        <v>2017</v>
      </c>
    </row>
    <row r="2025" spans="2:2">
      <c r="B2025" s="105">
        <v>2018</v>
      </c>
    </row>
    <row r="2026" spans="2:2">
      <c r="B2026" s="105">
        <v>2019</v>
      </c>
    </row>
    <row r="2027" spans="2:2">
      <c r="B2027" s="105">
        <v>2020</v>
      </c>
    </row>
    <row r="2028" spans="2:2">
      <c r="B2028" s="105">
        <v>2021</v>
      </c>
    </row>
    <row r="2029" spans="2:2">
      <c r="B2029" s="105">
        <v>2022</v>
      </c>
    </row>
    <row r="2030" spans="2:2">
      <c r="B2030" s="105">
        <v>2023</v>
      </c>
    </row>
    <row r="2031" spans="2:2">
      <c r="B2031" s="105">
        <v>2024</v>
      </c>
    </row>
    <row r="2032" spans="2:2">
      <c r="B2032" s="105">
        <v>2025</v>
      </c>
    </row>
    <row r="2033" spans="2:2">
      <c r="B2033" s="105">
        <v>2026</v>
      </c>
    </row>
    <row r="2034" spans="2:2">
      <c r="B2034" s="105">
        <v>2027</v>
      </c>
    </row>
    <row r="2035" spans="2:2">
      <c r="B2035" s="105">
        <v>2028</v>
      </c>
    </row>
    <row r="2036" spans="2:2">
      <c r="B2036" s="105">
        <v>2029</v>
      </c>
    </row>
    <row r="2037" spans="2:2">
      <c r="B2037" s="105">
        <v>2030</v>
      </c>
    </row>
    <row r="2038" spans="2:2">
      <c r="B2038" s="105">
        <v>2031</v>
      </c>
    </row>
    <row r="2039" spans="2:2">
      <c r="B2039" s="105">
        <v>2032</v>
      </c>
    </row>
    <row r="2040" spans="2:2">
      <c r="B2040" s="105">
        <v>2033</v>
      </c>
    </row>
    <row r="2041" spans="2:2">
      <c r="B2041" s="105">
        <v>2034</v>
      </c>
    </row>
    <row r="2042" spans="2:2">
      <c r="B2042" s="105">
        <v>2035</v>
      </c>
    </row>
    <row r="2043" spans="2:2">
      <c r="B2043" s="105">
        <v>2036</v>
      </c>
    </row>
    <row r="2044" spans="2:2">
      <c r="B2044" s="105">
        <v>2037</v>
      </c>
    </row>
    <row r="2045" spans="2:2">
      <c r="B2045" s="105">
        <v>2038</v>
      </c>
    </row>
    <row r="2046" spans="2:2">
      <c r="B2046" s="105">
        <v>2039</v>
      </c>
    </row>
    <row r="2047" spans="2:2">
      <c r="B2047" s="105">
        <v>2040</v>
      </c>
    </row>
    <row r="2048" spans="2:2">
      <c r="B2048" s="105">
        <v>2041</v>
      </c>
    </row>
    <row r="2049" spans="2:2">
      <c r="B2049" s="105">
        <v>2042</v>
      </c>
    </row>
    <row r="2050" spans="2:2">
      <c r="B2050" s="105">
        <v>2043</v>
      </c>
    </row>
    <row r="2051" spans="2:2">
      <c r="B2051" s="105">
        <v>2044</v>
      </c>
    </row>
    <row r="2052" spans="2:2">
      <c r="B2052" s="105">
        <v>2045</v>
      </c>
    </row>
    <row r="2053" spans="2:2">
      <c r="B2053" s="105">
        <v>2046</v>
      </c>
    </row>
    <row r="2054" spans="2:2">
      <c r="B2054" s="105">
        <v>2047</v>
      </c>
    </row>
    <row r="2055" spans="2:2">
      <c r="B2055" s="105">
        <v>2048</v>
      </c>
    </row>
    <row r="2056" spans="2:2">
      <c r="B2056" s="105">
        <v>2049</v>
      </c>
    </row>
    <row r="2057" spans="2:2">
      <c r="B2057" s="105">
        <v>2050</v>
      </c>
    </row>
    <row r="2058" spans="2:2">
      <c r="B2058" s="105">
        <v>2051</v>
      </c>
    </row>
    <row r="2059" spans="2:2">
      <c r="B2059" s="105">
        <v>2052</v>
      </c>
    </row>
    <row r="2060" spans="2:2">
      <c r="B2060" s="105">
        <v>2053</v>
      </c>
    </row>
    <row r="2061" spans="2:2">
      <c r="B2061" s="105">
        <v>2054</v>
      </c>
    </row>
    <row r="2062" spans="2:2">
      <c r="B2062" s="105">
        <v>2055</v>
      </c>
    </row>
    <row r="2063" spans="2:2">
      <c r="B2063" s="105">
        <v>2056</v>
      </c>
    </row>
    <row r="2064" spans="2:2">
      <c r="B2064" s="105">
        <v>2057</v>
      </c>
    </row>
    <row r="2065" spans="2:2">
      <c r="B2065" s="105">
        <v>2058</v>
      </c>
    </row>
    <row r="2066" spans="2:2">
      <c r="B2066" s="105">
        <v>2059</v>
      </c>
    </row>
    <row r="2067" spans="2:2">
      <c r="B2067" s="105">
        <v>2060</v>
      </c>
    </row>
    <row r="2068" spans="2:2">
      <c r="B2068" s="105">
        <v>2061</v>
      </c>
    </row>
    <row r="2069" spans="2:2">
      <c r="B2069" s="105">
        <v>2062</v>
      </c>
    </row>
    <row r="2070" spans="2:2">
      <c r="B2070" s="105">
        <v>2063</v>
      </c>
    </row>
    <row r="2071" spans="2:2">
      <c r="B2071" s="105">
        <v>2064</v>
      </c>
    </row>
    <row r="2072" spans="2:2">
      <c r="B2072" s="105">
        <v>2065</v>
      </c>
    </row>
    <row r="2073" spans="2:2">
      <c r="B2073" s="105">
        <v>2066</v>
      </c>
    </row>
    <row r="2074" spans="2:2">
      <c r="B2074" s="105">
        <v>2067</v>
      </c>
    </row>
    <row r="2075" spans="2:2">
      <c r="B2075" s="105">
        <v>2068</v>
      </c>
    </row>
    <row r="2076" spans="2:2">
      <c r="B2076" s="105">
        <v>2069</v>
      </c>
    </row>
    <row r="2077" spans="2:2">
      <c r="B2077" s="105">
        <v>2070</v>
      </c>
    </row>
    <row r="2078" spans="2:2">
      <c r="B2078" s="105">
        <v>2071</v>
      </c>
    </row>
    <row r="2079" spans="2:2">
      <c r="B2079" s="105">
        <v>2072</v>
      </c>
    </row>
    <row r="2080" spans="2:2">
      <c r="B2080" s="105">
        <v>2073</v>
      </c>
    </row>
    <row r="2081" spans="2:2">
      <c r="B2081" s="105">
        <v>2074</v>
      </c>
    </row>
    <row r="2082" spans="2:2">
      <c r="B2082" s="105">
        <v>2075</v>
      </c>
    </row>
    <row r="2083" spans="2:2">
      <c r="B2083" s="105">
        <v>2076</v>
      </c>
    </row>
    <row r="2084" spans="2:2">
      <c r="B2084" s="105">
        <v>2077</v>
      </c>
    </row>
    <row r="2085" spans="2:2">
      <c r="B2085" s="105">
        <v>2078</v>
      </c>
    </row>
    <row r="2086" spans="2:2">
      <c r="B2086" s="105">
        <v>2079</v>
      </c>
    </row>
    <row r="2087" spans="2:2">
      <c r="B2087" s="105">
        <v>2080</v>
      </c>
    </row>
    <row r="2088" spans="2:2">
      <c r="B2088" s="105">
        <v>2081</v>
      </c>
    </row>
    <row r="2089" spans="2:2">
      <c r="B2089" s="105">
        <v>2082</v>
      </c>
    </row>
    <row r="2090" spans="2:2">
      <c r="B2090" s="105">
        <v>2083</v>
      </c>
    </row>
    <row r="2091" spans="2:2">
      <c r="B2091" s="105">
        <v>2084</v>
      </c>
    </row>
    <row r="2092" spans="2:2">
      <c r="B2092" s="105">
        <v>2085</v>
      </c>
    </row>
    <row r="2093" spans="2:2">
      <c r="B2093" s="105">
        <v>2086</v>
      </c>
    </row>
    <row r="2094" spans="2:2">
      <c r="B2094" s="105">
        <v>2087</v>
      </c>
    </row>
    <row r="2095" spans="2:2">
      <c r="B2095" s="105">
        <v>2088</v>
      </c>
    </row>
    <row r="2096" spans="2:2">
      <c r="B2096" s="105">
        <v>2089</v>
      </c>
    </row>
    <row r="2097" spans="2:2">
      <c r="B2097" s="105">
        <v>2090</v>
      </c>
    </row>
    <row r="2098" spans="2:2">
      <c r="B2098" s="105">
        <v>2091</v>
      </c>
    </row>
    <row r="2099" spans="2:2">
      <c r="B2099" s="105">
        <v>2092</v>
      </c>
    </row>
    <row r="2100" spans="2:2">
      <c r="B2100" s="105">
        <v>2093</v>
      </c>
    </row>
    <row r="2101" spans="2:2">
      <c r="B2101" s="105">
        <v>2094</v>
      </c>
    </row>
    <row r="2102" spans="2:2">
      <c r="B2102" s="105">
        <v>2095</v>
      </c>
    </row>
    <row r="2103" spans="2:2">
      <c r="B2103" s="105">
        <v>2096</v>
      </c>
    </row>
    <row r="2104" spans="2:2">
      <c r="B2104" s="105">
        <v>2097</v>
      </c>
    </row>
    <row r="2105" spans="2:2">
      <c r="B2105" s="105">
        <v>2098</v>
      </c>
    </row>
    <row r="2106" spans="2:2">
      <c r="B2106" s="105">
        <v>2099</v>
      </c>
    </row>
    <row r="2107" spans="2:2">
      <c r="B2107" s="105">
        <v>2100</v>
      </c>
    </row>
    <row r="2108" spans="2:2">
      <c r="B2108" s="105">
        <v>2101</v>
      </c>
    </row>
    <row r="2109" spans="2:2">
      <c r="B2109" s="105">
        <v>2102</v>
      </c>
    </row>
    <row r="2110" spans="2:2">
      <c r="B2110" s="105">
        <v>2103</v>
      </c>
    </row>
    <row r="2111" spans="2:2">
      <c r="B2111" s="105">
        <v>2104</v>
      </c>
    </row>
    <row r="2112" spans="2:2">
      <c r="B2112" s="105">
        <v>2105</v>
      </c>
    </row>
    <row r="2113" spans="2:2">
      <c r="B2113" s="105">
        <v>2106</v>
      </c>
    </row>
  </sheetData>
  <mergeCells count="5">
    <mergeCell ref="C6:C7"/>
    <mergeCell ref="H6:H7"/>
    <mergeCell ref="A2:I2"/>
    <mergeCell ref="A3:I3"/>
    <mergeCell ref="I6:I7"/>
  </mergeCells>
  <phoneticPr fontId="0" type="noConversion"/>
  <printOptions horizontalCentered="1" gridLines="1" gridLinesSet="0"/>
  <pageMargins left="0.78740157480314965" right="0.78740157480314965" top="1.96" bottom="0.98425196850393704" header="0.51181102362204722" footer="0.51181102362204722"/>
  <pageSetup paperSize="5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/>
  </sheetViews>
  <sheetFormatPr baseColWidth="10" defaultColWidth="9.140625"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datos</vt:lpstr>
      <vt:lpstr>Sheet1</vt:lpstr>
      <vt:lpstr>datos!Área_de_impresión</vt:lpstr>
    </vt:vector>
  </TitlesOfParts>
  <Company>Petrobras Energía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MGORINI</dc:creator>
  <cp:lastModifiedBy>Chelo</cp:lastModifiedBy>
  <cp:lastPrinted>2006-04-06T19:19:35Z</cp:lastPrinted>
  <dcterms:created xsi:type="dcterms:W3CDTF">2003-12-21T15:25:28Z</dcterms:created>
  <dcterms:modified xsi:type="dcterms:W3CDTF">2023-04-19T15:00:03Z</dcterms:modified>
</cp:coreProperties>
</file>